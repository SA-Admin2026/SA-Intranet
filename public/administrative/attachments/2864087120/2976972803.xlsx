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kStuff\Admin\"/>
    </mc:Choice>
  </mc:AlternateContent>
  <xr:revisionPtr revIDLastSave="0" documentId="13_ncr:1_{6500933B-A8F0-4B8B-B111-F0C48A2F031B}" xr6:coauthVersionLast="47" xr6:coauthVersionMax="47" xr10:uidLastSave="{00000000-0000-0000-0000-000000000000}"/>
  <bookViews>
    <workbookView xWindow="-110" yWindow="-110" windowWidth="19420" windowHeight="11500" xr2:uid="{E09420D2-A90E-4D7B-8357-0EE498CBB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I21" i="1"/>
  <c r="G24" i="1" l="1"/>
  <c r="H21" i="1"/>
  <c r="H19" i="1"/>
  <c r="H18" i="1"/>
  <c r="H17" i="1"/>
  <c r="F21" i="1"/>
  <c r="F20" i="1"/>
  <c r="F19" i="1"/>
  <c r="F18" i="1"/>
  <c r="F17" i="1"/>
  <c r="F16" i="1"/>
  <c r="H15" i="1"/>
  <c r="F15" i="1"/>
  <c r="F3" i="1"/>
  <c r="H3" i="1"/>
  <c r="F4" i="1"/>
  <c r="F5" i="1"/>
  <c r="H5" i="1"/>
  <c r="F6" i="1"/>
  <c r="H6" i="1"/>
  <c r="F7" i="1"/>
  <c r="H7" i="1"/>
  <c r="F8" i="1"/>
  <c r="H8" i="1"/>
  <c r="F9" i="1"/>
  <c r="F10" i="1"/>
  <c r="F11" i="1"/>
  <c r="H11" i="1"/>
  <c r="F12" i="1"/>
  <c r="H12" i="1"/>
  <c r="F13" i="1"/>
  <c r="H13" i="1"/>
  <c r="F14" i="1"/>
  <c r="H14" i="1"/>
  <c r="F2" i="1"/>
  <c r="H2" i="1"/>
  <c r="C7" i="1"/>
  <c r="C4" i="1"/>
  <c r="C5" i="1" s="1"/>
  <c r="H24" i="1" l="1"/>
  <c r="I3" i="1"/>
  <c r="K3" i="1" s="1"/>
  <c r="F24" i="1"/>
  <c r="I15" i="1"/>
  <c r="K15" i="1" s="1"/>
  <c r="I16" i="1"/>
  <c r="K16" i="1" s="1"/>
  <c r="K21" i="1"/>
  <c r="I20" i="1"/>
  <c r="K20" i="1" s="1"/>
  <c r="I19" i="1"/>
  <c r="K19" i="1" s="1"/>
  <c r="I18" i="1"/>
  <c r="K18" i="1" s="1"/>
  <c r="I17" i="1"/>
  <c r="K17" i="1" s="1"/>
  <c r="I2" i="1"/>
  <c r="K2" i="1" s="1"/>
  <c r="I8" i="1"/>
  <c r="K8" i="1" s="1"/>
  <c r="I7" i="1"/>
  <c r="K7" i="1" s="1"/>
  <c r="I6" i="1"/>
  <c r="K6" i="1" s="1"/>
  <c r="I5" i="1"/>
  <c r="K5" i="1" s="1"/>
  <c r="I4" i="1"/>
  <c r="K4" i="1" s="1"/>
  <c r="I9" i="1"/>
  <c r="K9" i="1" s="1"/>
  <c r="C8" i="1"/>
  <c r="I14" i="1"/>
  <c r="K14" i="1" s="1"/>
  <c r="I13" i="1"/>
  <c r="K13" i="1" s="1"/>
  <c r="I12" i="1"/>
  <c r="K12" i="1" s="1"/>
  <c r="I11" i="1"/>
  <c r="K11" i="1" s="1"/>
  <c r="I10" i="1"/>
  <c r="K10" i="1" s="1"/>
  <c r="K24" i="1" l="1"/>
</calcChain>
</file>

<file path=xl/sharedStrings.xml><?xml version="1.0" encoding="utf-8"?>
<sst xmlns="http://schemas.openxmlformats.org/spreadsheetml/2006/main" count="34" uniqueCount="34">
  <si>
    <t>bill out</t>
  </si>
  <si>
    <t>$ for Co.</t>
  </si>
  <si>
    <t>$ for You</t>
  </si>
  <si>
    <t>billed hrs</t>
  </si>
  <si>
    <t>OH hrs</t>
  </si>
  <si>
    <t>Total Hrs</t>
  </si>
  <si>
    <t>Pay rate: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</si>
  <si>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</si>
  <si>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</si>
  <si>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</si>
  <si>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</si>
  <si>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</si>
  <si>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</si>
  <si>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</si>
  <si>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</si>
  <si>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</si>
  <si>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</si>
  <si>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</si>
  <si>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</si>
  <si>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</si>
  <si>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PP</t>
  </si>
  <si>
    <t>Billed $</t>
  </si>
  <si>
    <t>Billed Hrs</t>
  </si>
  <si>
    <t>Pay Rate</t>
  </si>
  <si>
    <t>PTO</t>
  </si>
  <si>
    <t>Payroll</t>
  </si>
  <si>
    <t>2025-01</t>
  </si>
  <si>
    <t>2025-02</t>
  </si>
  <si>
    <t>2025-03</t>
  </si>
  <si>
    <t>2025-04</t>
  </si>
  <si>
    <t>2025-05</t>
  </si>
  <si>
    <t>2025-06</t>
  </si>
  <si>
    <t>2025-07</t>
  </si>
  <si>
    <t>OH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</si>
</sst>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  <xf numFmtId="164" fontId="3" fillId="0" borderId="0" xfId="1" applyNumberFormat="1" applyFont="1"/>
    <xf numFmtId="166" fontId="0" fillId="0" borderId="0" xfId="2" applyNumberFormat="1" applyFont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0" fontId="4" fillId="2" borderId="2" xfId="3" applyBorder="1"/>
    <xf numFmtId="164" fontId="4" fillId="2" borderId="1" xfId="3" applyNumberFormat="1" applyBorder="1"/>
    <xf numFmtId="0" fontId="4" fillId="2" borderId="1" xfId="3" applyBorder="1"/>
    <xf numFmtId="164" fontId="4" fillId="2" borderId="3" xfId="3" applyNumberFormat="1" applyBorder="1"/>
    <xf numFmtId="0" fontId="4" fillId="2" borderId="4" xfId="3" applyBorder="1"/>
    <xf numFmtId="164" fontId="4" fillId="2" borderId="5" xfId="3" applyNumberFormat="1" applyBorder="1"/>
    <xf numFmtId="0" fontId="4" fillId="2" borderId="5" xfId="3" applyBorder="1"/>
    <xf numFmtId="164" fontId="4" fillId="2" borderId="6" xfId="3" applyNumberFormat="1" applyBorder="1"/>
    <xf numFmtId="44" fontId="3" fillId="0" borderId="0" xfId="1" applyNumberFormat="1" applyFont="1"/>
    <xf numFmtId="44" fontId="0" fillId="0" borderId="0" xfId="1" applyNumberFormat="1" applyFont="1"/>
    <xf numFmtId="44" fontId="4" fillId="2" borderId="1" xfId="3" applyNumberFormat="1" applyBorder="1"/>
    <xf numFmtId="44" fontId="4" fillId="2" borderId="5" xfId="3" applyNumberFormat="1" applyBorder="1"/>
    <xf numFmtId="44" fontId="0" fillId="0" borderId="0" xfId="1" applyNumberFormat="1" applyFont="1" applyBorder="1"/>
  </cellXfs>
  <cellStyles count="4">
    <cellStyle name="Bad" xfId="3" builtinId="27"/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033E-812A-49B7-9A41-ADFD2AA5F744}">
  <dimension ref="B1:K24"/>
  <sheetViews>
    <sheetView tabSelected="1" zoomScale="110" zoomScaleNormal="110" workbookViewId="0">
      <selection activeCell="M15" sqref="M15"/>
    </sheetView>
  </sheetViews>
  <sheetFormatPr defaultRowHeight="15" x14ac:dyDescent="0.25"/>
  <cols>
    <col min="6" max="6" width="11.5703125" style="1" bestFit="1" customWidth="1"/>
    <col min="7" max="7" width="9.42578125" bestFit="1" customWidth="1"/>
    <col min="8" max="8" width="7.42578125" bestFit="1" customWidth="1"/>
    <col min="9" max="9" width="9.85546875" style="18" customWidth="1"/>
    <col min="11" max="11" width="10" bestFit="1" customWidth="1"/>
  </cols>
  <sheetData>
    <row r="1" spans="2:11" x14ac:dyDescent="0.25">
      <c r="E1" s="3" t="s">
        <v>20</v>
      </c>
      <c r="F1" s="4" t="s">
        <v>21</v>
      </c>
      <c r="G1" s="3" t="s">
        <v>22</v>
      </c>
      <c r="H1" s="3" t="s">
        <v>33</v>
      </c>
      <c r="I1" s="17" t="s">
        <v>23</v>
      </c>
      <c r="J1" s="3" t="s">
        <v>24</v>
      </c>
      <c r="K1" s="3" t="s">
        <v>25</v>
      </c>
    </row>
    <row r="2" spans="2:11" x14ac:dyDescent="0.25">
      <c r="B2" t="s">
        <v>0</v>
      </c>
      <c r="C2" s="2">
        <v>160</v>
      </c>
      <c r="E2" t="s">
        <v>7</v>
      </c>
      <c r="F2" s="1">
        <f>160*G2</f>
        <v>19200</v>
      </c>
      <c r="G2">
        <v>120</v>
      </c>
      <c r="H2">
        <f>160-G2</f>
        <v>40</v>
      </c>
      <c r="I2" s="18">
        <f>50%*SUM(F$2:F2)/(SUM(G$2:G2)+SUM(H$2:H2))</f>
        <v>60</v>
      </c>
      <c r="K2" s="2">
        <f>(G2+H2+J2)*I2</f>
        <v>9600</v>
      </c>
    </row>
    <row r="3" spans="2:11" x14ac:dyDescent="0.25">
      <c r="B3" t="s">
        <v>3</v>
      </c>
      <c r="C3">
        <v>30</v>
      </c>
      <c r="E3" t="s">
        <v>8</v>
      </c>
      <c r="F3" s="1">
        <f t="shared" ref="F3:F14" si="0">160*G3</f>
        <v>22400</v>
      </c>
      <c r="G3">
        <v>140</v>
      </c>
      <c r="H3">
        <f t="shared" ref="H3:H14" si="1">160-G3</f>
        <v>20</v>
      </c>
      <c r="I3" s="18">
        <f>50%*SUM(F$2:F3)/(SUM(G$2:G3)+SUM(H$2:H3))</f>
        <v>65</v>
      </c>
      <c r="K3" s="2">
        <f t="shared" ref="K3:K14" si="2">(G3+H3+J3)*I3</f>
        <v>10400</v>
      </c>
    </row>
    <row r="4" spans="2:11" x14ac:dyDescent="0.25">
      <c r="B4" t="s">
        <v>1</v>
      </c>
      <c r="C4" s="2">
        <f>C3*C2</f>
        <v>4800</v>
      </c>
      <c r="E4" t="s">
        <v>9</v>
      </c>
      <c r="F4" s="1">
        <f t="shared" si="0"/>
        <v>16000</v>
      </c>
      <c r="G4">
        <v>100</v>
      </c>
      <c r="H4">
        <v>20</v>
      </c>
      <c r="I4" s="18">
        <f>50%*SUM(F$2:F4)/(SUM(G$2:G4)+SUM(H$2:H4))</f>
        <v>65.454545454545453</v>
      </c>
      <c r="K4" s="2">
        <f>(G4+H4+J4)*I4</f>
        <v>7854.545454545454</v>
      </c>
    </row>
    <row r="5" spans="2:11" x14ac:dyDescent="0.25">
      <c r="B5" t="s">
        <v>2</v>
      </c>
      <c r="C5" s="2">
        <f>0.5*C4</f>
        <v>2400</v>
      </c>
      <c r="E5" t="s">
        <v>10</v>
      </c>
      <c r="F5" s="1">
        <f t="shared" si="0"/>
        <v>21600</v>
      </c>
      <c r="G5">
        <v>135</v>
      </c>
      <c r="H5">
        <f t="shared" si="1"/>
        <v>25</v>
      </c>
      <c r="I5" s="18">
        <f>50%*SUM(F$2:F5)/(SUM(G$2:G5)+SUM(H$2:H5))</f>
        <v>66</v>
      </c>
      <c r="K5" s="2">
        <f t="shared" si="2"/>
        <v>10560</v>
      </c>
    </row>
    <row r="6" spans="2:11" x14ac:dyDescent="0.25">
      <c r="B6" t="s">
        <v>4</v>
      </c>
      <c r="C6">
        <v>10</v>
      </c>
      <c r="E6" t="s">
        <v>11</v>
      </c>
      <c r="F6" s="1">
        <f t="shared" si="0"/>
        <v>23200</v>
      </c>
      <c r="G6">
        <v>145</v>
      </c>
      <c r="H6">
        <f t="shared" si="1"/>
        <v>15</v>
      </c>
      <c r="I6" s="18">
        <f>50%*SUM(F$2:F6)/(SUM(G$2:G6)+SUM(H$2:H6))</f>
        <v>67.368421052631575</v>
      </c>
      <c r="K6" s="2">
        <f t="shared" si="2"/>
        <v>10778.947368421052</v>
      </c>
    </row>
    <row r="7" spans="2:11" x14ac:dyDescent="0.25">
      <c r="B7" t="s">
        <v>5</v>
      </c>
      <c r="C7">
        <f>C6+C3</f>
        <v>40</v>
      </c>
      <c r="E7" t="s">
        <v>12</v>
      </c>
      <c r="F7" s="1">
        <f t="shared" si="0"/>
        <v>25600</v>
      </c>
      <c r="G7">
        <v>160</v>
      </c>
      <c r="H7">
        <f t="shared" si="1"/>
        <v>0</v>
      </c>
      <c r="I7" s="18">
        <f>50%*SUM(F$2:F7)/(SUM(G$2:G7)+SUM(H$2:H7))</f>
        <v>69.565217391304344</v>
      </c>
      <c r="K7" s="2">
        <f t="shared" si="2"/>
        <v>11130.434782608696</v>
      </c>
    </row>
    <row r="8" spans="2:11" x14ac:dyDescent="0.25">
      <c r="B8" t="s">
        <v>6</v>
      </c>
      <c r="C8" s="2">
        <f>C5/C7</f>
        <v>60</v>
      </c>
      <c r="E8" t="s">
        <v>13</v>
      </c>
      <c r="F8" s="1">
        <f t="shared" si="0"/>
        <v>24000</v>
      </c>
      <c r="G8">
        <v>150</v>
      </c>
      <c r="H8">
        <f t="shared" si="1"/>
        <v>10</v>
      </c>
      <c r="I8" s="18">
        <f>50%*SUM(F$2:F8)/(SUM(G$2:G8)+SUM(H$2:H8))</f>
        <v>70.370370370370367</v>
      </c>
      <c r="K8" s="2">
        <f t="shared" si="2"/>
        <v>11259.259259259259</v>
      </c>
    </row>
    <row r="9" spans="2:11" x14ac:dyDescent="0.25">
      <c r="E9" s="9" t="s">
        <v>14</v>
      </c>
      <c r="F9" s="10">
        <f t="shared" si="0"/>
        <v>6400</v>
      </c>
      <c r="G9" s="11">
        <v>40</v>
      </c>
      <c r="H9" s="11">
        <f t="shared" si="1"/>
        <v>120</v>
      </c>
      <c r="I9" s="19">
        <f>50%*SUM(F$2:F9)/(SUM(G$2:G9)+SUM(H$2:H9))</f>
        <v>63.87096774193548</v>
      </c>
      <c r="J9" s="11"/>
      <c r="K9" s="12">
        <f t="shared" si="2"/>
        <v>10219.354838709676</v>
      </c>
    </row>
    <row r="10" spans="2:11" x14ac:dyDescent="0.25">
      <c r="E10" s="13" t="s">
        <v>15</v>
      </c>
      <c r="F10" s="14">
        <f t="shared" si="0"/>
        <v>0</v>
      </c>
      <c r="G10" s="15">
        <v>0</v>
      </c>
      <c r="H10" s="15">
        <f t="shared" si="1"/>
        <v>160</v>
      </c>
      <c r="I10" s="20">
        <f>50%*SUM(F$2:F10)/(SUM(G$2:G10)+SUM(H$2:H10))</f>
        <v>56.571428571428569</v>
      </c>
      <c r="J10" s="15"/>
      <c r="K10" s="16">
        <f t="shared" si="2"/>
        <v>9051.4285714285706</v>
      </c>
    </row>
    <row r="11" spans="2:11" x14ac:dyDescent="0.25">
      <c r="E11" t="s">
        <v>16</v>
      </c>
      <c r="F11" s="1">
        <f t="shared" si="0"/>
        <v>19200</v>
      </c>
      <c r="G11">
        <v>120</v>
      </c>
      <c r="H11">
        <f t="shared" si="1"/>
        <v>40</v>
      </c>
      <c r="I11" s="18">
        <f>50%*SUM(F$2:F11)/(SUM(G$2:G11)+SUM(H$2:H11))</f>
        <v>56.92307692307692</v>
      </c>
      <c r="K11" s="2">
        <f t="shared" si="2"/>
        <v>9107.6923076923067</v>
      </c>
    </row>
    <row r="12" spans="2:11" x14ac:dyDescent="0.25">
      <c r="E12" t="s">
        <v>17</v>
      </c>
      <c r="F12" s="1">
        <f t="shared" si="0"/>
        <v>22400</v>
      </c>
      <c r="G12">
        <v>140</v>
      </c>
      <c r="H12">
        <f t="shared" si="1"/>
        <v>20</v>
      </c>
      <c r="I12" s="18">
        <f>50%*SUM(F$2:F12)/(SUM(G$2:G12)+SUM(H$2:H12))</f>
        <v>58.139534883720927</v>
      </c>
      <c r="K12" s="2">
        <f t="shared" si="2"/>
        <v>9302.3255813953474</v>
      </c>
    </row>
    <row r="13" spans="2:11" x14ac:dyDescent="0.25">
      <c r="E13" t="s">
        <v>18</v>
      </c>
      <c r="F13" s="1">
        <f t="shared" si="0"/>
        <v>24800</v>
      </c>
      <c r="G13">
        <v>155</v>
      </c>
      <c r="H13">
        <f t="shared" si="1"/>
        <v>5</v>
      </c>
      <c r="I13" s="18">
        <f>50%*SUM(F$2:F13)/(SUM(G$2:G13)+SUM(H$2:H13))</f>
        <v>59.787234042553195</v>
      </c>
      <c r="K13" s="2">
        <f t="shared" si="2"/>
        <v>9565.957446808512</v>
      </c>
    </row>
    <row r="14" spans="2:11" x14ac:dyDescent="0.25">
      <c r="E14" t="s">
        <v>19</v>
      </c>
      <c r="F14" s="1">
        <f t="shared" si="0"/>
        <v>24000</v>
      </c>
      <c r="G14">
        <v>150</v>
      </c>
      <c r="H14">
        <f t="shared" si="1"/>
        <v>10</v>
      </c>
      <c r="I14" s="18">
        <f>50%*SUM(F$2:F14)/(SUM(G$2:G14)+SUM(H$2:H14))</f>
        <v>60.980392156862742</v>
      </c>
      <c r="K14" s="2">
        <f t="shared" si="2"/>
        <v>9756.8627450980384</v>
      </c>
    </row>
    <row r="15" spans="2:11" ht="26.25" customHeight="1" x14ac:dyDescent="0.25">
      <c r="E15" s="6" t="s">
        <v>26</v>
      </c>
      <c r="F15" s="7">
        <f>160*G15</f>
        <v>19200</v>
      </c>
      <c r="G15" s="6">
        <v>120</v>
      </c>
      <c r="H15" s="6">
        <f>160-G15</f>
        <v>40</v>
      </c>
      <c r="I15" s="21">
        <f>50%*SUM(F3:F15)/(SUM(G3:G15)+SUM(H3:H15))</f>
        <v>60.980392156862742</v>
      </c>
      <c r="J15" s="6"/>
      <c r="K15" s="8">
        <f>(G15+H15+J15)*I15</f>
        <v>9756.8627450980384</v>
      </c>
    </row>
    <row r="16" spans="2:11" x14ac:dyDescent="0.25">
      <c r="E16" t="s">
        <v>27</v>
      </c>
      <c r="F16" s="1">
        <f t="shared" ref="F16:F21" si="3">160*G16</f>
        <v>16000</v>
      </c>
      <c r="G16">
        <v>100</v>
      </c>
      <c r="H16">
        <v>20</v>
      </c>
      <c r="I16" s="18">
        <f t="shared" ref="I16:I21" si="4">50%*SUM(F4:F16)/(SUM(G4:G16)+SUM(H4:H16))</f>
        <v>60.6</v>
      </c>
      <c r="K16" s="2">
        <f t="shared" ref="K16:K21" si="5">(G16+H16+J16)*I16</f>
        <v>7272</v>
      </c>
    </row>
    <row r="17" spans="5:11" x14ac:dyDescent="0.25">
      <c r="E17" t="s">
        <v>28</v>
      </c>
      <c r="F17" s="1">
        <f t="shared" si="3"/>
        <v>21600</v>
      </c>
      <c r="G17">
        <v>135</v>
      </c>
      <c r="H17">
        <f t="shared" ref="H17:H19" si="6">160-G17</f>
        <v>25</v>
      </c>
      <c r="I17" s="18">
        <f t="shared" si="4"/>
        <v>60.784313725490193</v>
      </c>
      <c r="K17" s="2">
        <f t="shared" si="5"/>
        <v>9725.49019607843</v>
      </c>
    </row>
    <row r="18" spans="5:11" x14ac:dyDescent="0.25">
      <c r="E18" t="s">
        <v>29</v>
      </c>
      <c r="F18" s="1">
        <f t="shared" si="3"/>
        <v>23200</v>
      </c>
      <c r="G18">
        <v>145</v>
      </c>
      <c r="H18">
        <f t="shared" si="6"/>
        <v>15</v>
      </c>
      <c r="I18" s="18">
        <f t="shared" si="4"/>
        <v>61.176470588235297</v>
      </c>
      <c r="K18" s="2">
        <f t="shared" si="5"/>
        <v>9788.2352941176468</v>
      </c>
    </row>
    <row r="19" spans="5:11" x14ac:dyDescent="0.25">
      <c r="E19" t="s">
        <v>30</v>
      </c>
      <c r="F19" s="1">
        <f t="shared" si="3"/>
        <v>25600</v>
      </c>
      <c r="G19">
        <v>160</v>
      </c>
      <c r="H19">
        <f t="shared" si="6"/>
        <v>0</v>
      </c>
      <c r="I19" s="18">
        <f t="shared" si="4"/>
        <v>61.764705882352942</v>
      </c>
      <c r="K19" s="2">
        <f t="shared" si="5"/>
        <v>9882.3529411764703</v>
      </c>
    </row>
    <row r="20" spans="5:11" x14ac:dyDescent="0.25">
      <c r="E20" t="s">
        <v>31</v>
      </c>
      <c r="F20" s="1">
        <f t="shared" si="3"/>
        <v>16000</v>
      </c>
      <c r="G20">
        <v>100</v>
      </c>
      <c r="H20">
        <v>20</v>
      </c>
      <c r="I20" s="18">
        <f t="shared" si="4"/>
        <v>60.6</v>
      </c>
      <c r="K20" s="2">
        <f t="shared" si="5"/>
        <v>7272</v>
      </c>
    </row>
    <row r="21" spans="5:11" x14ac:dyDescent="0.25">
      <c r="E21" t="s">
        <v>32</v>
      </c>
      <c r="F21" s="1">
        <f t="shared" si="3"/>
        <v>21600</v>
      </c>
      <c r="G21">
        <v>135</v>
      </c>
      <c r="H21">
        <f t="shared" ref="H21" si="7">160-G21</f>
        <v>25</v>
      </c>
      <c r="I21" s="18">
        <f t="shared" si="4"/>
        <v>60</v>
      </c>
      <c r="K21" s="2">
        <f t="shared" si="5"/>
        <v>9600</v>
      </c>
    </row>
    <row r="22" spans="5:11" x14ac:dyDescent="0.25">
      <c r="K22" s="2"/>
    </row>
    <row r="23" spans="5:11" x14ac:dyDescent="0.25">
      <c r="K23" s="2"/>
    </row>
    <row r="24" spans="5:11" x14ac:dyDescent="0.25">
      <c r="F24" s="2">
        <f>SUM(F9:F23)</f>
        <v>240000</v>
      </c>
      <c r="G24" s="5">
        <f>SUM(G9:G23)</f>
        <v>1500</v>
      </c>
      <c r="H24" s="5">
        <f>SUM(H9:H23)</f>
        <v>500</v>
      </c>
      <c r="K24" s="2">
        <f>SUM(K9:K23)</f>
        <v>120300.56266760305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Wallace</dc:creator>
  <cp:lastModifiedBy>Mark Wallace</cp:lastModifiedBy>
  <dcterms:created xsi:type="dcterms:W3CDTF">2025-04-27T22:37:44Z</dcterms:created>
  <dcterms:modified xsi:type="dcterms:W3CDTF">2025-04-30T17:53:03Z</dcterms:modified>
</cp:coreProperties>
</file>