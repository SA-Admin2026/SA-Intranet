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emccomb/Library/CloudStorage/Box-Box/Semantic Arts Files/Human Resources/PayAndBenefits/US_Benefits/Insurance/ShelterPoint FAMLI CO/"/>
    </mc:Choice>
  </mc:AlternateContent>
  <xr:revisionPtr revIDLastSave="0" documentId="13_ncr:1_{FF69ADB0-7140-A545-9A38-E7D369E3360B}" xr6:coauthVersionLast="47" xr6:coauthVersionMax="47" xr10:uidLastSave="{00000000-0000-0000-0000-000000000000}"/>
  <bookViews>
    <workbookView xWindow="41220" yWindow="-23120" windowWidth="35140" windowHeight="12020" activeTab="1" xr2:uid="{00000000-000D-0000-FFFF-FFFF00000000}"/>
  </bookViews>
  <sheets>
    <sheet name="ripping report 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2" l="1"/>
  <c r="C14" i="2"/>
  <c r="E12" i="2"/>
  <c r="D12" i="2"/>
  <c r="C6" i="2"/>
  <c r="C3" i="2"/>
  <c r="B10" i="2"/>
  <c r="C10" i="2" s="1"/>
  <c r="B9" i="2"/>
  <c r="C9" i="2" s="1"/>
  <c r="B8" i="2"/>
  <c r="C8" i="2" s="1"/>
  <c r="B7" i="2"/>
  <c r="C7" i="2" s="1"/>
  <c r="B6" i="2"/>
  <c r="B5" i="2"/>
  <c r="C5" i="2" s="1"/>
  <c r="B4" i="2"/>
  <c r="C4" i="2" s="1"/>
  <c r="B3" i="2"/>
  <c r="B2" i="2"/>
  <c r="C2" i="2" s="1"/>
</calcChain>
</file>

<file path=xl/sharedStrings.xml><?xml version="1.0" encoding="utf-8"?>
<sst xmlns="http://schemas.openxmlformats.org/spreadsheetml/2006/main" count="306" uniqueCount="39">
  <si>
    <t>Employee - ID</t>
  </si>
  <si>
    <t>Employee</t>
  </si>
  <si>
    <t>Pay run name</t>
  </si>
  <si>
    <t>Employee gross pay - Currency</t>
  </si>
  <si>
    <t>Employee gross pay</t>
  </si>
  <si>
    <t>End date</t>
  </si>
  <si>
    <t>655bdaba11259ef04cfc737e</t>
  </si>
  <si>
    <t>61df113f578e5ca21acf182c</t>
  </si>
  <si>
    <t>654d1a4303c91c58da173b58</t>
  </si>
  <si>
    <t>65a5aa4d3c9840e32446690c</t>
  </si>
  <si>
    <t>5c01d661da32c81a5929c928</t>
  </si>
  <si>
    <t>5ef510cdc2994e5eefdf6c3e</t>
  </si>
  <si>
    <t>5c01d661da32c81a5929c953</t>
  </si>
  <si>
    <t>613f90e9bcdccffe3ab96fe7</t>
  </si>
  <si>
    <t>5bf5b04bd2f87d7e11d1a7a3</t>
  </si>
  <si>
    <t>Claire Vogl</t>
  </si>
  <si>
    <t>JT Metcalf</t>
  </si>
  <si>
    <t>Colby Neeb</t>
  </si>
  <si>
    <t>Vicente Ramos</t>
  </si>
  <si>
    <t>Neil Graham</t>
  </si>
  <si>
    <t>Danny Hurlburt</t>
  </si>
  <si>
    <t>Jamie Gulden</t>
  </si>
  <si>
    <t>Eddie Thomas</t>
  </si>
  <si>
    <t>David McComb</t>
  </si>
  <si>
    <t>January Payroll - US (2024)</t>
  </si>
  <si>
    <t>US Payroll - May (2024)</t>
  </si>
  <si>
    <t>US Payroll - March (2024)</t>
  </si>
  <si>
    <t>US Payroll - February (2024)</t>
  </si>
  <si>
    <t>April Payroll - US (2024)</t>
  </si>
  <si>
    <t>Q2 2024 reconciliation (2024)</t>
  </si>
  <si>
    <t>June Payroll - US (2024)</t>
  </si>
  <si>
    <t>Q1 2024 reconciliation (2024)</t>
  </si>
  <si>
    <t>USD</t>
  </si>
  <si>
    <t>wage</t>
  </si>
  <si>
    <t>annual max</t>
  </si>
  <si>
    <t>fraction of year</t>
  </si>
  <si>
    <t>Female</t>
  </si>
  <si>
    <t>Male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</si>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</sst>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opLeftCell="A53" workbookViewId="0">
      <selection activeCell="B1" sqref="B1:B1048576"/>
    </sheetView>
  </sheetViews>
  <sheetFormatPr baseColWidth="10" defaultColWidth="8.83203125" defaultRowHeight="15" x14ac:dyDescent="0.2"/>
  <cols>
    <col min="1" max="1" width="24.6640625" customWidth="1"/>
    <col min="2" max="2" width="14.6640625" customWidth="1"/>
    <col min="3" max="4" width="29.6640625" customWidth="1"/>
    <col min="5" max="5" width="18.6640625" customWidth="1"/>
    <col min="6" max="6" width="10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15</v>
      </c>
      <c r="C2" t="s">
        <v>24</v>
      </c>
      <c r="D2" t="s">
        <v>32</v>
      </c>
      <c r="E2">
        <v>365.5</v>
      </c>
      <c r="F2" s="2">
        <v>45302</v>
      </c>
    </row>
    <row r="3" spans="1:6" x14ac:dyDescent="0.2">
      <c r="A3" t="s">
        <v>6</v>
      </c>
      <c r="B3" t="s">
        <v>15</v>
      </c>
      <c r="C3" t="s">
        <v>25</v>
      </c>
      <c r="D3" t="s">
        <v>32</v>
      </c>
      <c r="E3">
        <v>671.5</v>
      </c>
      <c r="F3" s="2">
        <v>45414</v>
      </c>
    </row>
    <row r="4" spans="1:6" x14ac:dyDescent="0.2">
      <c r="A4" t="s">
        <v>6</v>
      </c>
      <c r="B4" t="s">
        <v>15</v>
      </c>
      <c r="C4" t="s">
        <v>26</v>
      </c>
      <c r="D4" t="s">
        <v>32</v>
      </c>
      <c r="E4">
        <v>680</v>
      </c>
      <c r="F4" s="2">
        <v>45358</v>
      </c>
    </row>
    <row r="5" spans="1:6" x14ac:dyDescent="0.2">
      <c r="A5" t="s">
        <v>6</v>
      </c>
      <c r="B5" t="s">
        <v>15</v>
      </c>
      <c r="C5" t="s">
        <v>27</v>
      </c>
      <c r="D5" t="s">
        <v>32</v>
      </c>
      <c r="E5">
        <v>556.75</v>
      </c>
      <c r="F5" s="2">
        <v>45330</v>
      </c>
    </row>
    <row r="6" spans="1:6" x14ac:dyDescent="0.2">
      <c r="A6" t="s">
        <v>6</v>
      </c>
      <c r="B6" t="s">
        <v>15</v>
      </c>
      <c r="C6" t="s">
        <v>28</v>
      </c>
      <c r="D6" t="s">
        <v>32</v>
      </c>
      <c r="E6">
        <v>671.5</v>
      </c>
      <c r="F6" s="2">
        <v>45386</v>
      </c>
    </row>
    <row r="7" spans="1:6" x14ac:dyDescent="0.2">
      <c r="A7" t="s">
        <v>6</v>
      </c>
      <c r="B7" t="s">
        <v>15</v>
      </c>
      <c r="C7" t="s">
        <v>29</v>
      </c>
      <c r="D7" t="s">
        <v>32</v>
      </c>
      <c r="E7">
        <v>0</v>
      </c>
    </row>
    <row r="8" spans="1:6" x14ac:dyDescent="0.2">
      <c r="A8" t="s">
        <v>6</v>
      </c>
      <c r="B8" t="s">
        <v>15</v>
      </c>
      <c r="C8" t="s">
        <v>30</v>
      </c>
      <c r="D8" t="s">
        <v>32</v>
      </c>
      <c r="E8">
        <v>788.5</v>
      </c>
      <c r="F8" s="2">
        <v>45442</v>
      </c>
    </row>
    <row r="9" spans="1:6" x14ac:dyDescent="0.2">
      <c r="A9" t="s">
        <v>6</v>
      </c>
      <c r="B9" t="s">
        <v>15</v>
      </c>
      <c r="C9" t="s">
        <v>31</v>
      </c>
      <c r="D9" t="s">
        <v>32</v>
      </c>
      <c r="E9">
        <v>0</v>
      </c>
    </row>
    <row r="10" spans="1:6" x14ac:dyDescent="0.2">
      <c r="A10" t="s">
        <v>7</v>
      </c>
      <c r="B10" t="s">
        <v>16</v>
      </c>
      <c r="C10" t="s">
        <v>28</v>
      </c>
      <c r="D10" t="s">
        <v>32</v>
      </c>
      <c r="E10">
        <v>7120</v>
      </c>
      <c r="F10" s="2">
        <v>45386</v>
      </c>
    </row>
    <row r="11" spans="1:6" x14ac:dyDescent="0.2">
      <c r="A11" t="s">
        <v>7</v>
      </c>
      <c r="B11" t="s">
        <v>16</v>
      </c>
      <c r="C11" t="s">
        <v>29</v>
      </c>
      <c r="D11" t="s">
        <v>32</v>
      </c>
      <c r="E11">
        <v>0</v>
      </c>
    </row>
    <row r="12" spans="1:6" x14ac:dyDescent="0.2">
      <c r="A12" t="s">
        <v>7</v>
      </c>
      <c r="B12" t="s">
        <v>16</v>
      </c>
      <c r="C12" t="s">
        <v>24</v>
      </c>
      <c r="D12" t="s">
        <v>32</v>
      </c>
      <c r="E12">
        <v>7340</v>
      </c>
      <c r="F12" s="2">
        <v>45302</v>
      </c>
    </row>
    <row r="13" spans="1:6" x14ac:dyDescent="0.2">
      <c r="A13" t="s">
        <v>7</v>
      </c>
      <c r="B13" t="s">
        <v>16</v>
      </c>
      <c r="C13" t="s">
        <v>25</v>
      </c>
      <c r="D13" t="s">
        <v>32</v>
      </c>
      <c r="E13">
        <v>7110</v>
      </c>
      <c r="F13" s="2">
        <v>45414</v>
      </c>
    </row>
    <row r="14" spans="1:6" x14ac:dyDescent="0.2">
      <c r="A14" t="s">
        <v>7</v>
      </c>
      <c r="B14" t="s">
        <v>16</v>
      </c>
      <c r="C14" t="s">
        <v>26</v>
      </c>
      <c r="D14" t="s">
        <v>32</v>
      </c>
      <c r="E14">
        <v>7450</v>
      </c>
      <c r="F14" s="2">
        <v>45358</v>
      </c>
    </row>
    <row r="15" spans="1:6" x14ac:dyDescent="0.2">
      <c r="A15" t="s">
        <v>7</v>
      </c>
      <c r="B15" t="s">
        <v>16</v>
      </c>
      <c r="C15" t="s">
        <v>27</v>
      </c>
      <c r="D15" t="s">
        <v>32</v>
      </c>
      <c r="E15">
        <v>7260</v>
      </c>
      <c r="F15" s="2">
        <v>45330</v>
      </c>
    </row>
    <row r="16" spans="1:6" x14ac:dyDescent="0.2">
      <c r="A16" t="s">
        <v>7</v>
      </c>
      <c r="B16" t="s">
        <v>16</v>
      </c>
      <c r="C16" t="s">
        <v>30</v>
      </c>
      <c r="D16" t="s">
        <v>32</v>
      </c>
      <c r="E16">
        <v>6990</v>
      </c>
      <c r="F16" s="2">
        <v>45442</v>
      </c>
    </row>
    <row r="17" spans="1:6" x14ac:dyDescent="0.2">
      <c r="A17" t="s">
        <v>7</v>
      </c>
      <c r="B17" t="s">
        <v>16</v>
      </c>
      <c r="C17" t="s">
        <v>31</v>
      </c>
      <c r="D17" t="s">
        <v>32</v>
      </c>
      <c r="E17">
        <v>0</v>
      </c>
    </row>
    <row r="18" spans="1:6" x14ac:dyDescent="0.2">
      <c r="A18" t="s">
        <v>8</v>
      </c>
      <c r="B18" t="s">
        <v>17</v>
      </c>
      <c r="C18" t="s">
        <v>28</v>
      </c>
      <c r="D18" t="s">
        <v>32</v>
      </c>
      <c r="E18">
        <v>6708.46</v>
      </c>
      <c r="F18" s="2">
        <v>45386</v>
      </c>
    </row>
    <row r="19" spans="1:6" x14ac:dyDescent="0.2">
      <c r="A19" t="s">
        <v>8</v>
      </c>
      <c r="B19" t="s">
        <v>17</v>
      </c>
      <c r="C19" t="s">
        <v>29</v>
      </c>
      <c r="D19" t="s">
        <v>32</v>
      </c>
      <c r="E19">
        <v>0</v>
      </c>
    </row>
    <row r="20" spans="1:6" x14ac:dyDescent="0.2">
      <c r="A20" t="s">
        <v>8</v>
      </c>
      <c r="B20" t="s">
        <v>17</v>
      </c>
      <c r="C20" t="s">
        <v>24</v>
      </c>
      <c r="D20" t="s">
        <v>32</v>
      </c>
      <c r="E20">
        <v>7595</v>
      </c>
      <c r="F20" s="2">
        <v>45302</v>
      </c>
    </row>
    <row r="21" spans="1:6" x14ac:dyDescent="0.2">
      <c r="A21" t="s">
        <v>8</v>
      </c>
      <c r="B21" t="s">
        <v>17</v>
      </c>
      <c r="C21" t="s">
        <v>25</v>
      </c>
      <c r="D21" t="s">
        <v>32</v>
      </c>
      <c r="E21">
        <v>6646.69</v>
      </c>
      <c r="F21" s="2">
        <v>45414</v>
      </c>
    </row>
    <row r="22" spans="1:6" x14ac:dyDescent="0.2">
      <c r="A22" t="s">
        <v>8</v>
      </c>
      <c r="B22" t="s">
        <v>17</v>
      </c>
      <c r="C22" t="s">
        <v>26</v>
      </c>
      <c r="D22" t="s">
        <v>32</v>
      </c>
      <c r="E22">
        <v>6844.32</v>
      </c>
      <c r="F22" s="2">
        <v>45358</v>
      </c>
    </row>
    <row r="23" spans="1:6" x14ac:dyDescent="0.2">
      <c r="A23" t="s">
        <v>8</v>
      </c>
      <c r="B23" t="s">
        <v>17</v>
      </c>
      <c r="C23" t="s">
        <v>27</v>
      </c>
      <c r="D23" t="s">
        <v>32</v>
      </c>
      <c r="E23">
        <v>7079.84</v>
      </c>
      <c r="F23" s="2">
        <v>45330</v>
      </c>
    </row>
    <row r="24" spans="1:6" x14ac:dyDescent="0.2">
      <c r="A24" t="s">
        <v>8</v>
      </c>
      <c r="B24" t="s">
        <v>17</v>
      </c>
      <c r="C24" t="s">
        <v>30</v>
      </c>
      <c r="D24" t="s">
        <v>32</v>
      </c>
      <c r="E24">
        <v>7256.82</v>
      </c>
      <c r="F24" s="2">
        <v>45442</v>
      </c>
    </row>
    <row r="25" spans="1:6" x14ac:dyDescent="0.2">
      <c r="A25" t="s">
        <v>8</v>
      </c>
      <c r="B25" t="s">
        <v>17</v>
      </c>
      <c r="C25" t="s">
        <v>31</v>
      </c>
      <c r="D25" t="s">
        <v>32</v>
      </c>
      <c r="E25">
        <v>0</v>
      </c>
    </row>
    <row r="26" spans="1:6" x14ac:dyDescent="0.2">
      <c r="A26" t="s">
        <v>9</v>
      </c>
      <c r="B26" t="s">
        <v>18</v>
      </c>
      <c r="C26" t="s">
        <v>28</v>
      </c>
      <c r="D26" t="s">
        <v>32</v>
      </c>
      <c r="E26">
        <v>1520</v>
      </c>
      <c r="F26" s="2">
        <v>45386</v>
      </c>
    </row>
    <row r="27" spans="1:6" x14ac:dyDescent="0.2">
      <c r="A27" t="s">
        <v>9</v>
      </c>
      <c r="B27" t="s">
        <v>18</v>
      </c>
      <c r="C27" t="s">
        <v>29</v>
      </c>
      <c r="D27" t="s">
        <v>32</v>
      </c>
      <c r="E27">
        <v>0</v>
      </c>
    </row>
    <row r="28" spans="1:6" x14ac:dyDescent="0.2">
      <c r="A28" t="s">
        <v>9</v>
      </c>
      <c r="B28" t="s">
        <v>18</v>
      </c>
      <c r="C28" t="s">
        <v>25</v>
      </c>
      <c r="D28" t="s">
        <v>32</v>
      </c>
      <c r="E28">
        <v>1400</v>
      </c>
      <c r="F28" s="2">
        <v>45414</v>
      </c>
    </row>
    <row r="29" spans="1:6" x14ac:dyDescent="0.2">
      <c r="A29" t="s">
        <v>9</v>
      </c>
      <c r="B29" t="s">
        <v>18</v>
      </c>
      <c r="C29" t="s">
        <v>26</v>
      </c>
      <c r="D29" t="s">
        <v>32</v>
      </c>
      <c r="E29">
        <v>1650</v>
      </c>
      <c r="F29" s="2">
        <v>45358</v>
      </c>
    </row>
    <row r="30" spans="1:6" x14ac:dyDescent="0.2">
      <c r="A30" t="s">
        <v>9</v>
      </c>
      <c r="B30" t="s">
        <v>18</v>
      </c>
      <c r="C30" t="s">
        <v>27</v>
      </c>
      <c r="D30" t="s">
        <v>32</v>
      </c>
      <c r="E30">
        <v>1340</v>
      </c>
      <c r="F30" s="2">
        <v>45330</v>
      </c>
    </row>
    <row r="31" spans="1:6" x14ac:dyDescent="0.2">
      <c r="A31" t="s">
        <v>9</v>
      </c>
      <c r="B31" t="s">
        <v>18</v>
      </c>
      <c r="C31" t="s">
        <v>30</v>
      </c>
      <c r="D31" t="s">
        <v>32</v>
      </c>
      <c r="E31">
        <v>1254</v>
      </c>
      <c r="F31" s="2">
        <v>45442</v>
      </c>
    </row>
    <row r="32" spans="1:6" x14ac:dyDescent="0.2">
      <c r="A32" t="s">
        <v>9</v>
      </c>
      <c r="B32" t="s">
        <v>18</v>
      </c>
      <c r="C32" t="s">
        <v>31</v>
      </c>
      <c r="D32" t="s">
        <v>32</v>
      </c>
      <c r="E32">
        <v>0</v>
      </c>
    </row>
    <row r="33" spans="1:6" x14ac:dyDescent="0.2">
      <c r="A33" t="s">
        <v>10</v>
      </c>
      <c r="B33" t="s">
        <v>19</v>
      </c>
      <c r="C33" t="s">
        <v>26</v>
      </c>
      <c r="D33" t="s">
        <v>32</v>
      </c>
      <c r="E33">
        <v>10412.799999999999</v>
      </c>
      <c r="F33" s="2">
        <v>45358</v>
      </c>
    </row>
    <row r="34" spans="1:6" x14ac:dyDescent="0.2">
      <c r="A34" t="s">
        <v>10</v>
      </c>
      <c r="B34" t="s">
        <v>19</v>
      </c>
      <c r="C34" t="s">
        <v>27</v>
      </c>
      <c r="D34" t="s">
        <v>32</v>
      </c>
      <c r="E34">
        <v>9818.64</v>
      </c>
      <c r="F34" s="2">
        <v>45330</v>
      </c>
    </row>
    <row r="35" spans="1:6" x14ac:dyDescent="0.2">
      <c r="A35" t="s">
        <v>10</v>
      </c>
      <c r="B35" t="s">
        <v>19</v>
      </c>
      <c r="C35" t="s">
        <v>28</v>
      </c>
      <c r="D35" t="s">
        <v>32</v>
      </c>
      <c r="E35">
        <v>10318.4</v>
      </c>
      <c r="F35" s="2">
        <v>45386</v>
      </c>
    </row>
    <row r="36" spans="1:6" x14ac:dyDescent="0.2">
      <c r="A36" t="s">
        <v>10</v>
      </c>
      <c r="B36" t="s">
        <v>19</v>
      </c>
      <c r="C36" t="s">
        <v>29</v>
      </c>
      <c r="D36" t="s">
        <v>32</v>
      </c>
      <c r="E36">
        <v>0</v>
      </c>
    </row>
    <row r="37" spans="1:6" x14ac:dyDescent="0.2">
      <c r="A37" t="s">
        <v>10</v>
      </c>
      <c r="B37" t="s">
        <v>19</v>
      </c>
      <c r="C37" t="s">
        <v>24</v>
      </c>
      <c r="D37" t="s">
        <v>32</v>
      </c>
      <c r="E37">
        <v>10307.200000000001</v>
      </c>
      <c r="F37" s="2">
        <v>45302</v>
      </c>
    </row>
    <row r="38" spans="1:6" x14ac:dyDescent="0.2">
      <c r="A38" t="s">
        <v>10</v>
      </c>
      <c r="B38" t="s">
        <v>19</v>
      </c>
      <c r="C38" t="s">
        <v>25</v>
      </c>
      <c r="D38" t="s">
        <v>32</v>
      </c>
      <c r="E38">
        <v>10427.200000000001</v>
      </c>
      <c r="F38" s="2">
        <v>45414</v>
      </c>
    </row>
    <row r="39" spans="1:6" x14ac:dyDescent="0.2">
      <c r="A39" t="s">
        <v>10</v>
      </c>
      <c r="B39" t="s">
        <v>19</v>
      </c>
      <c r="C39" t="s">
        <v>30</v>
      </c>
      <c r="D39" t="s">
        <v>32</v>
      </c>
      <c r="E39">
        <v>10504</v>
      </c>
      <c r="F39" s="2">
        <v>45442</v>
      </c>
    </row>
    <row r="40" spans="1:6" x14ac:dyDescent="0.2">
      <c r="A40" t="s">
        <v>10</v>
      </c>
      <c r="B40" t="s">
        <v>19</v>
      </c>
      <c r="C40" t="s">
        <v>31</v>
      </c>
      <c r="D40" t="s">
        <v>32</v>
      </c>
      <c r="E40">
        <v>0</v>
      </c>
    </row>
    <row r="41" spans="1:6" x14ac:dyDescent="0.2">
      <c r="A41" t="s">
        <v>11</v>
      </c>
      <c r="B41" t="s">
        <v>20</v>
      </c>
      <c r="C41" t="s">
        <v>26</v>
      </c>
      <c r="D41" t="s">
        <v>32</v>
      </c>
      <c r="E41">
        <v>10673.25</v>
      </c>
      <c r="F41" s="2">
        <v>45358</v>
      </c>
    </row>
    <row r="42" spans="1:6" x14ac:dyDescent="0.2">
      <c r="A42" t="s">
        <v>11</v>
      </c>
      <c r="B42" t="s">
        <v>20</v>
      </c>
      <c r="C42" t="s">
        <v>27</v>
      </c>
      <c r="D42" t="s">
        <v>32</v>
      </c>
      <c r="E42">
        <v>9001.3799999999992</v>
      </c>
      <c r="F42" s="2">
        <v>45330</v>
      </c>
    </row>
    <row r="43" spans="1:6" x14ac:dyDescent="0.2">
      <c r="A43" t="s">
        <v>11</v>
      </c>
      <c r="B43" t="s">
        <v>20</v>
      </c>
      <c r="C43" t="s">
        <v>28</v>
      </c>
      <c r="D43" t="s">
        <v>32</v>
      </c>
      <c r="E43">
        <v>9696.8799999999992</v>
      </c>
      <c r="F43" s="2">
        <v>45386</v>
      </c>
    </row>
    <row r="44" spans="1:6" x14ac:dyDescent="0.2">
      <c r="A44" t="s">
        <v>11</v>
      </c>
      <c r="B44" t="s">
        <v>20</v>
      </c>
      <c r="C44" t="s">
        <v>29</v>
      </c>
      <c r="D44" t="s">
        <v>32</v>
      </c>
      <c r="E44">
        <v>0</v>
      </c>
    </row>
    <row r="45" spans="1:6" x14ac:dyDescent="0.2">
      <c r="A45" t="s">
        <v>11</v>
      </c>
      <c r="B45" t="s">
        <v>20</v>
      </c>
      <c r="C45" t="s">
        <v>24</v>
      </c>
      <c r="D45" t="s">
        <v>32</v>
      </c>
      <c r="E45">
        <v>8840.8799999999992</v>
      </c>
      <c r="F45" s="2">
        <v>45302</v>
      </c>
    </row>
    <row r="46" spans="1:6" x14ac:dyDescent="0.2">
      <c r="A46" t="s">
        <v>11</v>
      </c>
      <c r="B46" t="s">
        <v>20</v>
      </c>
      <c r="C46" t="s">
        <v>25</v>
      </c>
      <c r="D46" t="s">
        <v>32</v>
      </c>
      <c r="E46">
        <v>9309</v>
      </c>
      <c r="F46" s="2">
        <v>45414</v>
      </c>
    </row>
    <row r="47" spans="1:6" x14ac:dyDescent="0.2">
      <c r="A47" t="s">
        <v>11</v>
      </c>
      <c r="B47" t="s">
        <v>20</v>
      </c>
      <c r="C47" t="s">
        <v>30</v>
      </c>
      <c r="D47" t="s">
        <v>32</v>
      </c>
      <c r="E47">
        <v>9215.3799999999992</v>
      </c>
      <c r="F47" s="2">
        <v>45442</v>
      </c>
    </row>
    <row r="48" spans="1:6" x14ac:dyDescent="0.2">
      <c r="A48" t="s">
        <v>11</v>
      </c>
      <c r="B48" t="s">
        <v>20</v>
      </c>
      <c r="C48" t="s">
        <v>31</v>
      </c>
      <c r="D48" t="s">
        <v>32</v>
      </c>
      <c r="E48">
        <v>0</v>
      </c>
    </row>
    <row r="49" spans="1:6" x14ac:dyDescent="0.2">
      <c r="A49" t="s">
        <v>12</v>
      </c>
      <c r="B49" t="s">
        <v>21</v>
      </c>
      <c r="C49" t="s">
        <v>26</v>
      </c>
      <c r="D49" t="s">
        <v>32</v>
      </c>
      <c r="E49">
        <v>12757.5</v>
      </c>
      <c r="F49" s="2">
        <v>45358</v>
      </c>
    </row>
    <row r="50" spans="1:6" x14ac:dyDescent="0.2">
      <c r="A50" t="s">
        <v>12</v>
      </c>
      <c r="B50" t="s">
        <v>21</v>
      </c>
      <c r="C50" t="s">
        <v>27</v>
      </c>
      <c r="D50" t="s">
        <v>32</v>
      </c>
      <c r="E50">
        <v>11672.5</v>
      </c>
      <c r="F50" s="2">
        <v>45330</v>
      </c>
    </row>
    <row r="51" spans="1:6" x14ac:dyDescent="0.2">
      <c r="A51" t="s">
        <v>12</v>
      </c>
      <c r="B51" t="s">
        <v>21</v>
      </c>
      <c r="C51" t="s">
        <v>28</v>
      </c>
      <c r="D51" t="s">
        <v>32</v>
      </c>
      <c r="E51">
        <v>11585</v>
      </c>
      <c r="F51" s="2">
        <v>45386</v>
      </c>
    </row>
    <row r="52" spans="1:6" x14ac:dyDescent="0.2">
      <c r="A52" t="s">
        <v>12</v>
      </c>
      <c r="B52" t="s">
        <v>21</v>
      </c>
      <c r="C52" t="s">
        <v>29</v>
      </c>
      <c r="D52" t="s">
        <v>32</v>
      </c>
      <c r="E52">
        <v>0</v>
      </c>
    </row>
    <row r="53" spans="1:6" x14ac:dyDescent="0.2">
      <c r="A53" t="s">
        <v>12</v>
      </c>
      <c r="B53" t="s">
        <v>21</v>
      </c>
      <c r="C53" t="s">
        <v>24</v>
      </c>
      <c r="D53" t="s">
        <v>32</v>
      </c>
      <c r="E53">
        <v>13842.5</v>
      </c>
      <c r="F53" s="2">
        <v>45302</v>
      </c>
    </row>
    <row r="54" spans="1:6" x14ac:dyDescent="0.2">
      <c r="A54" t="s">
        <v>12</v>
      </c>
      <c r="B54" t="s">
        <v>21</v>
      </c>
      <c r="C54" t="s">
        <v>25</v>
      </c>
      <c r="D54" t="s">
        <v>32</v>
      </c>
      <c r="E54">
        <v>10675</v>
      </c>
      <c r="F54" s="2">
        <v>45414</v>
      </c>
    </row>
    <row r="55" spans="1:6" x14ac:dyDescent="0.2">
      <c r="A55" t="s">
        <v>12</v>
      </c>
      <c r="B55" t="s">
        <v>21</v>
      </c>
      <c r="C55" t="s">
        <v>30</v>
      </c>
      <c r="D55" t="s">
        <v>32</v>
      </c>
      <c r="E55">
        <v>10987.5</v>
      </c>
      <c r="F55" s="2">
        <v>45442</v>
      </c>
    </row>
    <row r="56" spans="1:6" x14ac:dyDescent="0.2">
      <c r="A56" t="s">
        <v>12</v>
      </c>
      <c r="B56" t="s">
        <v>21</v>
      </c>
      <c r="C56" t="s">
        <v>31</v>
      </c>
      <c r="D56" t="s">
        <v>32</v>
      </c>
      <c r="E56">
        <v>0</v>
      </c>
    </row>
    <row r="57" spans="1:6" x14ac:dyDescent="0.2">
      <c r="A57" t="s">
        <v>13</v>
      </c>
      <c r="B57" t="s">
        <v>22</v>
      </c>
      <c r="C57" t="s">
        <v>28</v>
      </c>
      <c r="D57" t="s">
        <v>32</v>
      </c>
      <c r="E57">
        <v>7672.75</v>
      </c>
      <c r="F57" s="2">
        <v>45386</v>
      </c>
    </row>
    <row r="58" spans="1:6" x14ac:dyDescent="0.2">
      <c r="A58" t="s">
        <v>13</v>
      </c>
      <c r="B58" t="s">
        <v>22</v>
      </c>
      <c r="C58" t="s">
        <v>29</v>
      </c>
      <c r="D58" t="s">
        <v>32</v>
      </c>
      <c r="E58">
        <v>0</v>
      </c>
    </row>
    <row r="59" spans="1:6" x14ac:dyDescent="0.2">
      <c r="A59" t="s">
        <v>13</v>
      </c>
      <c r="B59" t="s">
        <v>22</v>
      </c>
      <c r="C59" t="s">
        <v>26</v>
      </c>
      <c r="D59" t="s">
        <v>32</v>
      </c>
      <c r="E59">
        <v>7567</v>
      </c>
      <c r="F59" s="2">
        <v>45358</v>
      </c>
    </row>
    <row r="60" spans="1:6" x14ac:dyDescent="0.2">
      <c r="A60" t="s">
        <v>13</v>
      </c>
      <c r="B60" t="s">
        <v>22</v>
      </c>
      <c r="C60" t="s">
        <v>27</v>
      </c>
      <c r="D60" t="s">
        <v>32</v>
      </c>
      <c r="E60">
        <v>7520</v>
      </c>
      <c r="F60" s="2">
        <v>45330</v>
      </c>
    </row>
    <row r="61" spans="1:6" x14ac:dyDescent="0.2">
      <c r="A61" t="s">
        <v>13</v>
      </c>
      <c r="B61" t="s">
        <v>22</v>
      </c>
      <c r="C61" t="s">
        <v>24</v>
      </c>
      <c r="D61" t="s">
        <v>32</v>
      </c>
      <c r="E61">
        <v>7590.5</v>
      </c>
      <c r="F61" s="2">
        <v>45302</v>
      </c>
    </row>
    <row r="62" spans="1:6" x14ac:dyDescent="0.2">
      <c r="A62" t="s">
        <v>13</v>
      </c>
      <c r="B62" t="s">
        <v>22</v>
      </c>
      <c r="C62" t="s">
        <v>25</v>
      </c>
      <c r="D62" t="s">
        <v>32</v>
      </c>
      <c r="E62">
        <v>8236.75</v>
      </c>
      <c r="F62" s="2">
        <v>45414</v>
      </c>
    </row>
    <row r="63" spans="1:6" x14ac:dyDescent="0.2">
      <c r="A63" t="s">
        <v>13</v>
      </c>
      <c r="B63" t="s">
        <v>22</v>
      </c>
      <c r="C63" t="s">
        <v>30</v>
      </c>
      <c r="D63" t="s">
        <v>32</v>
      </c>
      <c r="E63">
        <v>7872.5</v>
      </c>
      <c r="F63" s="2">
        <v>45442</v>
      </c>
    </row>
    <row r="64" spans="1:6" x14ac:dyDescent="0.2">
      <c r="A64" t="s">
        <v>13</v>
      </c>
      <c r="B64" t="s">
        <v>22</v>
      </c>
      <c r="C64" t="s">
        <v>31</v>
      </c>
      <c r="D64" t="s">
        <v>32</v>
      </c>
      <c r="E64">
        <v>0</v>
      </c>
    </row>
    <row r="65" spans="1:6" x14ac:dyDescent="0.2">
      <c r="A65" t="s">
        <v>14</v>
      </c>
      <c r="B65" t="s">
        <v>23</v>
      </c>
      <c r="C65" t="s">
        <v>28</v>
      </c>
      <c r="D65" t="s">
        <v>32</v>
      </c>
      <c r="E65">
        <v>20723.740000000002</v>
      </c>
      <c r="F65" s="2">
        <v>45386</v>
      </c>
    </row>
    <row r="66" spans="1:6" x14ac:dyDescent="0.2">
      <c r="A66" t="s">
        <v>14</v>
      </c>
      <c r="B66" t="s">
        <v>23</v>
      </c>
      <c r="C66" t="s">
        <v>29</v>
      </c>
      <c r="D66" t="s">
        <v>32</v>
      </c>
      <c r="E66">
        <v>0</v>
      </c>
    </row>
    <row r="67" spans="1:6" x14ac:dyDescent="0.2">
      <c r="A67" t="s">
        <v>14</v>
      </c>
      <c r="B67" t="s">
        <v>23</v>
      </c>
      <c r="C67" t="s">
        <v>26</v>
      </c>
      <c r="D67" t="s">
        <v>32</v>
      </c>
      <c r="E67">
        <v>18758.09</v>
      </c>
      <c r="F67" s="2">
        <v>45358</v>
      </c>
    </row>
    <row r="68" spans="1:6" x14ac:dyDescent="0.2">
      <c r="A68" t="s">
        <v>14</v>
      </c>
      <c r="B68" t="s">
        <v>23</v>
      </c>
      <c r="C68" t="s">
        <v>27</v>
      </c>
      <c r="D68" t="s">
        <v>32</v>
      </c>
      <c r="E68">
        <v>17026.080000000002</v>
      </c>
      <c r="F68" s="2">
        <v>45330</v>
      </c>
    </row>
    <row r="69" spans="1:6" x14ac:dyDescent="0.2">
      <c r="A69" t="s">
        <v>14</v>
      </c>
      <c r="B69" t="s">
        <v>23</v>
      </c>
      <c r="C69" t="s">
        <v>24</v>
      </c>
      <c r="D69" t="s">
        <v>32</v>
      </c>
      <c r="E69">
        <v>16815.73</v>
      </c>
      <c r="F69" s="2">
        <v>45302</v>
      </c>
    </row>
    <row r="70" spans="1:6" x14ac:dyDescent="0.2">
      <c r="A70" t="s">
        <v>14</v>
      </c>
      <c r="B70" t="s">
        <v>23</v>
      </c>
      <c r="C70" t="s">
        <v>25</v>
      </c>
      <c r="D70" t="s">
        <v>32</v>
      </c>
      <c r="E70">
        <v>18948.97</v>
      </c>
      <c r="F70" s="2">
        <v>45414</v>
      </c>
    </row>
    <row r="71" spans="1:6" x14ac:dyDescent="0.2">
      <c r="A71" t="s">
        <v>14</v>
      </c>
      <c r="B71" t="s">
        <v>23</v>
      </c>
      <c r="C71" t="s">
        <v>30</v>
      </c>
      <c r="D71" t="s">
        <v>32</v>
      </c>
      <c r="E71">
        <v>18554.75</v>
      </c>
      <c r="F71" s="2">
        <v>45442</v>
      </c>
    </row>
    <row r="72" spans="1:6" x14ac:dyDescent="0.2">
      <c r="A72" t="s">
        <v>14</v>
      </c>
      <c r="B72" t="s">
        <v>23</v>
      </c>
      <c r="C72" t="s">
        <v>31</v>
      </c>
      <c r="D72" t="s">
        <v>32</v>
      </c>
      <c r="E7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DB00-65D3-8940-A675-565DFB9D4BE3}">
  <dimension ref="A1:I14"/>
  <sheetViews>
    <sheetView tabSelected="1" workbookViewId="0">
      <selection activeCell="I15" sqref="I15"/>
    </sheetView>
  </sheetViews>
  <sheetFormatPr baseColWidth="10" defaultRowHeight="15" x14ac:dyDescent="0.2"/>
  <cols>
    <col min="1" max="1" width="14.6640625" customWidth="1"/>
    <col min="3" max="3" width="11.1640625" bestFit="1" customWidth="1"/>
  </cols>
  <sheetData>
    <row r="1" spans="1:9" x14ac:dyDescent="0.2">
      <c r="A1" s="1" t="s">
        <v>1</v>
      </c>
      <c r="B1" t="s">
        <v>33</v>
      </c>
      <c r="C1" t="s">
        <v>34</v>
      </c>
      <c r="D1" t="s">
        <v>36</v>
      </c>
      <c r="E1" t="s">
        <v>37</v>
      </c>
      <c r="F1">
        <v>168600</v>
      </c>
      <c r="G1" t="s">
        <v>35</v>
      </c>
      <c r="H1">
        <v>0.5</v>
      </c>
    </row>
    <row r="2" spans="1:9" x14ac:dyDescent="0.2">
      <c r="A2" t="s">
        <v>15</v>
      </c>
      <c r="B2">
        <f>SUMIFS('ripping report '!E:E,'ripping report '!B:B,A2)</f>
        <v>3733.75</v>
      </c>
      <c r="C2">
        <f>MIN(B2,F$1*H$1)</f>
        <v>3733.75</v>
      </c>
      <c r="D2">
        <v>1</v>
      </c>
    </row>
    <row r="3" spans="1:9" x14ac:dyDescent="0.2">
      <c r="A3" t="s">
        <v>16</v>
      </c>
      <c r="B3">
        <f>SUMIFS('ripping report '!E:E,'ripping report '!B:B,A3)</f>
        <v>43270</v>
      </c>
      <c r="C3">
        <f t="shared" ref="C3:C10" si="0">MIN(B3,F$1*H$1)</f>
        <v>43270</v>
      </c>
      <c r="E3">
        <v>1</v>
      </c>
    </row>
    <row r="4" spans="1:9" x14ac:dyDescent="0.2">
      <c r="A4" t="s">
        <v>17</v>
      </c>
      <c r="B4">
        <f>SUMIFS('ripping report '!E:E,'ripping report '!B:B,A4)</f>
        <v>42131.13</v>
      </c>
      <c r="C4">
        <f t="shared" si="0"/>
        <v>42131.13</v>
      </c>
      <c r="E4">
        <v>1</v>
      </c>
    </row>
    <row r="5" spans="1:9" x14ac:dyDescent="0.2">
      <c r="A5" t="s">
        <v>18</v>
      </c>
      <c r="B5">
        <f>SUMIFS('ripping report '!E:E,'ripping report '!B:B,A5)</f>
        <v>7164</v>
      </c>
      <c r="C5">
        <f t="shared" si="0"/>
        <v>7164</v>
      </c>
      <c r="E5">
        <v>1</v>
      </c>
    </row>
    <row r="6" spans="1:9" x14ac:dyDescent="0.2">
      <c r="A6" t="s">
        <v>19</v>
      </c>
      <c r="B6">
        <f>SUMIFS('ripping report '!E:E,'ripping report '!B:B,A6)</f>
        <v>61788.239999999991</v>
      </c>
      <c r="C6">
        <f t="shared" si="0"/>
        <v>61788.239999999991</v>
      </c>
      <c r="E6">
        <v>1</v>
      </c>
    </row>
    <row r="7" spans="1:9" x14ac:dyDescent="0.2">
      <c r="A7" t="s">
        <v>20</v>
      </c>
      <c r="B7">
        <f>SUMIFS('ripping report '!E:E,'ripping report '!B:B,A7)</f>
        <v>56736.76999999999</v>
      </c>
      <c r="C7">
        <f t="shared" si="0"/>
        <v>56736.76999999999</v>
      </c>
      <c r="E7">
        <v>1</v>
      </c>
    </row>
    <row r="8" spans="1:9" x14ac:dyDescent="0.2">
      <c r="A8" t="s">
        <v>21</v>
      </c>
      <c r="B8">
        <f>SUMIFS('ripping report '!E:E,'ripping report '!B:B,A8)</f>
        <v>71520</v>
      </c>
      <c r="C8">
        <f t="shared" si="0"/>
        <v>71520</v>
      </c>
      <c r="E8">
        <v>1</v>
      </c>
    </row>
    <row r="9" spans="1:9" x14ac:dyDescent="0.2">
      <c r="A9" t="s">
        <v>22</v>
      </c>
      <c r="B9">
        <f>SUMIFS('ripping report '!E:E,'ripping report '!B:B,A9)</f>
        <v>46459.5</v>
      </c>
      <c r="C9">
        <f t="shared" si="0"/>
        <v>46459.5</v>
      </c>
      <c r="E9">
        <v>1</v>
      </c>
    </row>
    <row r="10" spans="1:9" x14ac:dyDescent="0.2">
      <c r="A10" t="s">
        <v>23</v>
      </c>
      <c r="B10">
        <f>SUMIFS('ripping report '!E:E,'ripping report '!B:B,A10)</f>
        <v>110827.36</v>
      </c>
      <c r="C10">
        <f t="shared" si="0"/>
        <v>84300</v>
      </c>
      <c r="E10">
        <v>1</v>
      </c>
    </row>
    <row r="12" spans="1:9" x14ac:dyDescent="0.2">
      <c r="D12">
        <f>SUM(D2:D11)</f>
        <v>1</v>
      </c>
      <c r="E12">
        <f>SUM(E2:E11)</f>
        <v>8</v>
      </c>
    </row>
    <row r="14" spans="1:9" x14ac:dyDescent="0.2">
      <c r="C14" s="3">
        <f>SUM(C2:C12)</f>
        <v>417103.39</v>
      </c>
      <c r="F14" t="s">
        <v>38</v>
      </c>
      <c r="G14">
        <v>6.6E-3</v>
      </c>
      <c r="I14" s="3">
        <f>C14*G14</f>
        <v>2752.8823740000003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ripping report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McComb</cp:lastModifiedBy>
  <dcterms:created xsi:type="dcterms:W3CDTF">2024-08-30T17:37:20Z</dcterms:created>
  <dcterms:modified xsi:type="dcterms:W3CDTF">2024-08-30T17:49:59Z</dcterms:modified>
</cp:coreProperties>
</file>