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SemanticArts\HRRecruitingAndSubcontractors\_Benefits\2022_Benefits_Tracking\"/>
    </mc:Choice>
  </mc:AlternateContent>
  <xr:revisionPtr revIDLastSave="0" documentId="13_ncr:1_{87301FF4-C160-416D-9EF8-06FEDAE7DFC8}" xr6:coauthVersionLast="47" xr6:coauthVersionMax="47" xr10:uidLastSave="{00000000-0000-0000-0000-000000000000}"/>
  <bookViews>
    <workbookView xWindow="33765" yWindow="-4335" windowWidth="17250" windowHeight="8865" activeTab="1" xr2:uid="{05797350-996D-4E6E-8625-EE6773781D4A}"/>
  </bookViews>
  <sheets>
    <sheet name="Sheet1" sheetId="11" r:id="rId1"/>
    <sheet name="Cumulative" sheetId="1" r:id="rId2"/>
    <sheet name="Jan" sheetId="6" r:id="rId3"/>
    <sheet name="Feb" sheetId="2" r:id="rId4"/>
    <sheet name="Mar" sheetId="7" r:id="rId5"/>
    <sheet name="Apr" sheetId="4" r:id="rId6"/>
    <sheet name="May" sheetId="8" r:id="rId7"/>
    <sheet name="June" sheetId="9" r:id="rId8"/>
    <sheet name="June(2)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8" i="11" l="1"/>
  <c r="R18" i="11"/>
  <c r="S18" i="11"/>
  <c r="T18" i="11"/>
  <c r="U18" i="11"/>
  <c r="V18" i="11"/>
  <c r="W5" i="11"/>
  <c r="W18" i="11" s="1"/>
  <c r="O18" i="11"/>
  <c r="O14" i="11"/>
  <c r="O13" i="11"/>
  <c r="O10" i="11"/>
  <c r="O9" i="11"/>
  <c r="O8" i="11"/>
  <c r="O7" i="11"/>
  <c r="O6" i="11"/>
  <c r="W6" i="11"/>
  <c r="X6" i="11" s="1"/>
  <c r="W7" i="11"/>
  <c r="X7" i="11" s="1"/>
  <c r="W8" i="11"/>
  <c r="X8" i="11" s="1"/>
  <c r="W9" i="11"/>
  <c r="W10" i="11"/>
  <c r="W11" i="11"/>
  <c r="W12" i="11"/>
  <c r="W13" i="11"/>
  <c r="X13" i="11" s="1"/>
  <c r="W14" i="11"/>
  <c r="X14" i="11" s="1"/>
  <c r="W15" i="11"/>
  <c r="W16" i="11"/>
  <c r="W17" i="11"/>
  <c r="X17" i="11" s="1"/>
  <c r="O5" i="11"/>
  <c r="P18" i="11"/>
  <c r="N6" i="11"/>
  <c r="N7" i="11"/>
  <c r="N8" i="11"/>
  <c r="N9" i="11"/>
  <c r="N10" i="11"/>
  <c r="N11" i="11"/>
  <c r="N12" i="11"/>
  <c r="N13" i="11"/>
  <c r="N14" i="11"/>
  <c r="N15" i="11"/>
  <c r="N16" i="11"/>
  <c r="N5" i="11"/>
  <c r="X5" i="11" s="1"/>
  <c r="B18" i="11"/>
  <c r="C18" i="11"/>
  <c r="D18" i="11"/>
  <c r="E18" i="11"/>
  <c r="F18" i="11"/>
  <c r="G18" i="11"/>
  <c r="H18" i="11"/>
  <c r="I18" i="11"/>
  <c r="J18" i="11"/>
  <c r="K18" i="11"/>
  <c r="L18" i="11"/>
  <c r="M18" i="11"/>
  <c r="I165" i="1"/>
  <c r="I166" i="1"/>
  <c r="I167" i="1"/>
  <c r="I168" i="1"/>
  <c r="I169" i="1"/>
  <c r="H165" i="1"/>
  <c r="P35" i="1"/>
  <c r="P22" i="1"/>
  <c r="P21" i="1"/>
  <c r="P20" i="1"/>
  <c r="P19" i="1"/>
  <c r="P18" i="1"/>
  <c r="H166" i="1"/>
  <c r="H167" i="1"/>
  <c r="H168" i="1"/>
  <c r="H169" i="1"/>
  <c r="G168" i="1"/>
  <c r="D169" i="1"/>
  <c r="E169" i="1"/>
  <c r="F169" i="1"/>
  <c r="G169" i="1"/>
  <c r="J169" i="1"/>
  <c r="K169" i="1"/>
  <c r="L169" i="1"/>
  <c r="M169" i="1"/>
  <c r="N169" i="1"/>
  <c r="O169" i="1"/>
  <c r="C169" i="1"/>
  <c r="E168" i="1"/>
  <c r="F168" i="1"/>
  <c r="J168" i="1"/>
  <c r="K168" i="1"/>
  <c r="L168" i="1"/>
  <c r="M168" i="1"/>
  <c r="N168" i="1"/>
  <c r="O168" i="1"/>
  <c r="D168" i="1"/>
  <c r="C168" i="1"/>
  <c r="E167" i="1"/>
  <c r="F167" i="1"/>
  <c r="G167" i="1"/>
  <c r="J167" i="1"/>
  <c r="K167" i="1"/>
  <c r="L167" i="1"/>
  <c r="M167" i="1"/>
  <c r="N167" i="1"/>
  <c r="O167" i="1"/>
  <c r="D167" i="1"/>
  <c r="C167" i="1"/>
  <c r="E166" i="1"/>
  <c r="F166" i="1"/>
  <c r="G166" i="1"/>
  <c r="J166" i="1"/>
  <c r="K166" i="1"/>
  <c r="L166" i="1"/>
  <c r="M166" i="1"/>
  <c r="N166" i="1"/>
  <c r="O166" i="1"/>
  <c r="D166" i="1"/>
  <c r="C166" i="1"/>
  <c r="E165" i="1"/>
  <c r="F165" i="1"/>
  <c r="G165" i="1"/>
  <c r="J165" i="1"/>
  <c r="K165" i="1"/>
  <c r="L165" i="1"/>
  <c r="M165" i="1"/>
  <c r="N165" i="1"/>
  <c r="O165" i="1"/>
  <c r="D165" i="1"/>
  <c r="C165" i="1"/>
  <c r="P159" i="1"/>
  <c r="P160" i="1"/>
  <c r="P161" i="1"/>
  <c r="P162" i="1"/>
  <c r="P152" i="1"/>
  <c r="P153" i="1"/>
  <c r="P154" i="1"/>
  <c r="P155" i="1"/>
  <c r="P145" i="1"/>
  <c r="P146" i="1"/>
  <c r="P147" i="1"/>
  <c r="P148" i="1"/>
  <c r="P138" i="1"/>
  <c r="P139" i="1"/>
  <c r="P140" i="1"/>
  <c r="P141" i="1"/>
  <c r="P131" i="1"/>
  <c r="P132" i="1"/>
  <c r="P133" i="1"/>
  <c r="P134" i="1"/>
  <c r="P124" i="1"/>
  <c r="P125" i="1"/>
  <c r="P126" i="1"/>
  <c r="P127" i="1"/>
  <c r="P117" i="1"/>
  <c r="P118" i="1"/>
  <c r="P119" i="1"/>
  <c r="P120" i="1"/>
  <c r="P110" i="1"/>
  <c r="P111" i="1"/>
  <c r="P112" i="1"/>
  <c r="P113" i="1"/>
  <c r="P106" i="1"/>
  <c r="P105" i="1"/>
  <c r="P103" i="1"/>
  <c r="P99" i="1"/>
  <c r="P98" i="1"/>
  <c r="P92" i="1"/>
  <c r="P91" i="1"/>
  <c r="P89" i="1"/>
  <c r="P85" i="1"/>
  <c r="P84" i="1"/>
  <c r="P78" i="1"/>
  <c r="P71" i="1"/>
  <c r="P64" i="1"/>
  <c r="P63" i="1"/>
  <c r="P57" i="1"/>
  <c r="P50" i="1"/>
  <c r="P49" i="1"/>
  <c r="P15" i="1"/>
  <c r="P43" i="1"/>
  <c r="P36" i="1"/>
  <c r="P29" i="1"/>
  <c r="P96" i="1"/>
  <c r="P83" i="1"/>
  <c r="P82" i="1"/>
  <c r="P75" i="1"/>
  <c r="P55" i="1"/>
  <c r="P123" i="1"/>
  <c r="P116" i="1"/>
  <c r="P109" i="1"/>
  <c r="P74" i="1"/>
  <c r="P60" i="1"/>
  <c r="P25" i="1"/>
  <c r="P77" i="1"/>
  <c r="P70" i="1"/>
  <c r="P68" i="1"/>
  <c r="P61" i="1"/>
  <c r="P56" i="1"/>
  <c r="P54" i="1"/>
  <c r="P47" i="1"/>
  <c r="P42" i="1"/>
  <c r="P40" i="1"/>
  <c r="P32" i="1"/>
  <c r="P33" i="1"/>
  <c r="P34" i="1"/>
  <c r="P28" i="1"/>
  <c r="P26" i="1"/>
  <c r="X10" i="11" l="1"/>
  <c r="X9" i="11"/>
  <c r="X18" i="11" s="1"/>
  <c r="N18" i="11"/>
  <c r="P102" i="1"/>
  <c r="P95" i="1"/>
  <c r="P88" i="1"/>
  <c r="P81" i="1"/>
  <c r="P67" i="1"/>
  <c r="P53" i="1"/>
  <c r="P46" i="1"/>
  <c r="P39" i="1"/>
  <c r="P130" i="1"/>
  <c r="P137" i="1"/>
  <c r="P158" i="1"/>
  <c r="P151" i="1"/>
  <c r="P144" i="1"/>
  <c r="P104" i="1"/>
  <c r="P97" i="1"/>
  <c r="P90" i="1"/>
  <c r="P76" i="1"/>
  <c r="P69" i="1"/>
  <c r="P62" i="1"/>
  <c r="P48" i="1"/>
  <c r="P41" i="1"/>
  <c r="P27" i="1"/>
  <c r="P169" i="1"/>
  <c r="P14" i="1"/>
  <c r="P13" i="1"/>
  <c r="P12" i="1"/>
  <c r="P11" i="1"/>
  <c r="P8" i="1"/>
  <c r="P7" i="1"/>
  <c r="P6" i="1"/>
  <c r="P167" i="1" s="1"/>
  <c r="P5" i="1"/>
  <c r="P4" i="1"/>
  <c r="P165" i="1" l="1"/>
  <c r="P166" i="1"/>
  <c r="P168" i="1"/>
</calcChain>
</file>

<file path=xl/sharedStrings.xml><?xml version="1.0" encoding="utf-8"?>
<sst xmlns="http://schemas.openxmlformats.org/spreadsheetml/2006/main" count="694" uniqueCount="130">
  <si>
    <t>Jan</t>
  </si>
  <si>
    <t>Feb</t>
  </si>
  <si>
    <t>Mar</t>
  </si>
  <si>
    <t>Apr</t>
  </si>
  <si>
    <t>May</t>
  </si>
  <si>
    <t>Jun</t>
  </si>
  <si>
    <t xml:space="preserve">June(2) </t>
  </si>
  <si>
    <t>Jul</t>
  </si>
  <si>
    <t>Aug</t>
  </si>
  <si>
    <t>Sept</t>
  </si>
  <si>
    <t>Oct</t>
  </si>
  <si>
    <t>Nov</t>
  </si>
  <si>
    <t>Dec</t>
  </si>
  <si>
    <t>YTD</t>
  </si>
  <si>
    <t>Target</t>
  </si>
  <si>
    <t>David McComb</t>
  </si>
  <si>
    <t>IRA - 10%</t>
  </si>
  <si>
    <t>Health Insurance Premium</t>
  </si>
  <si>
    <t>H.S.A. Contributions</t>
  </si>
  <si>
    <t>F.S.A. Contributions</t>
  </si>
  <si>
    <t>Dental Premium</t>
  </si>
  <si>
    <t>BYOD Payments</t>
  </si>
  <si>
    <t>Mark Wallace</t>
  </si>
  <si>
    <t>IRA - $1375/mo</t>
  </si>
  <si>
    <t>Dan Carey</t>
  </si>
  <si>
    <t>IRA - $1265/mo</t>
  </si>
  <si>
    <t>Neil Graham</t>
  </si>
  <si>
    <t>IRA - NONE</t>
  </si>
  <si>
    <t>Jamie Gulden</t>
  </si>
  <si>
    <t>Michael Uschold</t>
  </si>
  <si>
    <t>IRA - $1310.87</t>
  </si>
  <si>
    <t>Rebecca Younes</t>
  </si>
  <si>
    <t>IRA - $1375</t>
  </si>
  <si>
    <t>Steve Case</t>
  </si>
  <si>
    <t>IRA - 4%</t>
  </si>
  <si>
    <t>Steve Steward</t>
  </si>
  <si>
    <t>IRA - 3% (2nd June)</t>
  </si>
  <si>
    <t>Kaspar Poland</t>
  </si>
  <si>
    <t>IRA - $500</t>
  </si>
  <si>
    <t>Danny Hurlburt</t>
  </si>
  <si>
    <t>IRA - 3%</t>
  </si>
  <si>
    <t>Marc Feickert</t>
  </si>
  <si>
    <t>Shawn Goodwin</t>
  </si>
  <si>
    <t>IRA - 6%</t>
  </si>
  <si>
    <t>Borislav Iordanov</t>
  </si>
  <si>
    <t>Ryan Chandler</t>
  </si>
  <si>
    <t>Dylan Abney</t>
  </si>
  <si>
    <t>Eddie Thomas</t>
  </si>
  <si>
    <t>Scott Looney</t>
  </si>
  <si>
    <t>JT Metcalf</t>
  </si>
  <si>
    <t>Ryan Hohimer</t>
  </si>
  <si>
    <t>Doug Beeson</t>
  </si>
  <si>
    <t>Dalia Dahleh</t>
  </si>
  <si>
    <t>Jess Singer</t>
  </si>
  <si>
    <t>Totals</t>
  </si>
  <si>
    <t>Rippling Emp No</t>
  </si>
  <si>
    <t>Full Name</t>
  </si>
  <si>
    <t>Base Pay Rate</t>
  </si>
  <si>
    <t>Base Pay Hours</t>
  </si>
  <si>
    <t>Base Pay Amount</t>
  </si>
  <si>
    <t>Overtime(1.5x Base) Rate</t>
  </si>
  <si>
    <t>Overtime(1.5x Base) Hours</t>
  </si>
  <si>
    <t>Overtime(1.5x Base) Amount</t>
  </si>
  <si>
    <t>Double Overtime(2x Base) Rate</t>
  </si>
  <si>
    <t>Double Overtime(2x Base) Hours</t>
  </si>
  <si>
    <t>Double Overtime(2x Base) Amount</t>
  </si>
  <si>
    <t>Bonus</t>
  </si>
  <si>
    <t>Commission</t>
  </si>
  <si>
    <t>Reimbursements</t>
  </si>
  <si>
    <t>IRA % Empee (Simple IRA) Emp. Deduction</t>
  </si>
  <si>
    <t>IRA % Empee (Simple IRA) Co. Contribution</t>
  </si>
  <si>
    <t>IRA Fixed Empee (Simple IRA) Emp. Deduction</t>
  </si>
  <si>
    <t>IRA Fixed Empee (Simple IRA) Co. Contribution</t>
  </si>
  <si>
    <t>Health Ins (Medical) Emp. Deduction</t>
  </si>
  <si>
    <t>Health Ins (Medical) Co. Contribution</t>
  </si>
  <si>
    <t>HSA (HSA) Emp. Deduction</t>
  </si>
  <si>
    <t>HSA (HSA) Co. Contribution</t>
  </si>
  <si>
    <t>Dental (Dental) Emp. Deduction</t>
  </si>
  <si>
    <t>Dental (Dental) Co. Contribution</t>
  </si>
  <si>
    <t>BYOD Equipment (Pre Tax) Emp. Deduction</t>
  </si>
  <si>
    <t>BYOD Equipment (Pre Tax) Co. Contribution</t>
  </si>
  <si>
    <t>FSA Empee Contribution (Medical) Emp. Deduction</t>
  </si>
  <si>
    <t>FSA Empee Contribution (Medical) Co. Contribution</t>
  </si>
  <si>
    <t>Payment Type</t>
  </si>
  <si>
    <t xml:space="preserve">Paystub Note </t>
  </si>
  <si>
    <t>Direct deposit</t>
  </si>
  <si>
    <t>Jamison Gulden</t>
  </si>
  <si>
    <t>Melissa Mitchell</t>
  </si>
  <si>
    <t>Ryann Faul</t>
  </si>
  <si>
    <t>Tristan Von Nieda</t>
  </si>
  <si>
    <t>Chris Walker</t>
  </si>
  <si>
    <t>Oscar Crispin</t>
  </si>
  <si>
    <t>Emma Rattie</t>
  </si>
  <si>
    <t>Anthem Reconcile</t>
  </si>
  <si>
    <t>8/1-9/1</t>
  </si>
  <si>
    <t>9/1-10/1</t>
  </si>
  <si>
    <t>10/1-11/1</t>
  </si>
  <si>
    <t>11/1-12/1</t>
  </si>
  <si>
    <t>12/1-1/1</t>
  </si>
  <si>
    <t>1/1-2/1</t>
  </si>
  <si>
    <t>2/1-3/1</t>
  </si>
  <si>
    <t>3/1-4/1</t>
  </si>
  <si>
    <t>4/1-5/1</t>
  </si>
  <si>
    <t>5/1-6/1</t>
  </si>
  <si>
    <t>6/1-7/1</t>
  </si>
  <si>
    <t>7/1-8/1</t>
  </si>
  <si>
    <t>Carey</t>
  </si>
  <si>
    <t>Graham</t>
  </si>
  <si>
    <t>Gulden</t>
  </si>
  <si>
    <t>Hurlburt</t>
  </si>
  <si>
    <t>Mitchell</t>
  </si>
  <si>
    <t>Pelakh</t>
  </si>
  <si>
    <t>Steward</t>
  </si>
  <si>
    <t>Ungricht</t>
  </si>
  <si>
    <t>Abney</t>
  </si>
  <si>
    <t>Thomas</t>
  </si>
  <si>
    <t>Walker</t>
  </si>
  <si>
    <t>Looney</t>
  </si>
  <si>
    <t>From Anthem</t>
  </si>
  <si>
    <t>SA Pay</t>
  </si>
  <si>
    <t>Difference</t>
  </si>
  <si>
    <t>Rippling 2022</t>
  </si>
  <si>
    <t>Rip aug</t>
  </si>
  <si>
    <t>Rip sept</t>
  </si>
  <si>
    <t>Rip oct</t>
  </si>
  <si>
    <t xml:space="preserve">Rip dec </t>
  </si>
  <si>
    <t>Rip nov 2</t>
  </si>
  <si>
    <t>Rip nov 1</t>
  </si>
  <si>
    <t>Rippling 2021 aug-dec</t>
  </si>
  <si>
    <t>Plan Year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</si>
</sst>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u val="singleAccounting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44" fontId="2" fillId="0" borderId="0" xfId="0" applyNumberFormat="1" applyFont="1" applyAlignment="1">
      <alignment horizontal="center"/>
    </xf>
    <xf numFmtId="44" fontId="0" fillId="0" borderId="3" xfId="0" applyNumberFormat="1" applyBorder="1"/>
    <xf numFmtId="44" fontId="0" fillId="2" borderId="1" xfId="0" applyNumberFormat="1" applyFill="1" applyBorder="1"/>
    <xf numFmtId="44" fontId="0" fillId="0" borderId="0" xfId="0" applyNumberFormat="1"/>
    <xf numFmtId="44" fontId="0" fillId="0" borderId="8" xfId="1" applyNumberFormat="1" applyFont="1" applyBorder="1"/>
    <xf numFmtId="44" fontId="0" fillId="0" borderId="1" xfId="1" applyNumberFormat="1" applyFont="1" applyBorder="1"/>
    <xf numFmtId="44" fontId="0" fillId="0" borderId="3" xfId="1" applyNumberFormat="1" applyFont="1" applyBorder="1"/>
    <xf numFmtId="44" fontId="0" fillId="2" borderId="1" xfId="1" applyNumberFormat="1" applyFont="1" applyFill="1" applyBorder="1"/>
    <xf numFmtId="44" fontId="0" fillId="0" borderId="1" xfId="1" applyNumberFormat="1" applyFont="1" applyFill="1" applyBorder="1"/>
    <xf numFmtId="44" fontId="0" fillId="0" borderId="0" xfId="1" applyNumberFormat="1" applyFont="1"/>
    <xf numFmtId="44" fontId="0" fillId="0" borderId="8" xfId="1" applyNumberFormat="1" applyFont="1" applyFill="1" applyBorder="1"/>
    <xf numFmtId="44" fontId="0" fillId="0" borderId="8" xfId="0" applyNumberFormat="1" applyBorder="1"/>
    <xf numFmtId="44" fontId="3" fillId="0" borderId="10" xfId="0" applyNumberFormat="1" applyFont="1" applyBorder="1"/>
    <xf numFmtId="44" fontId="0" fillId="0" borderId="11" xfId="1" applyNumberFormat="1" applyFont="1" applyBorder="1"/>
    <xf numFmtId="44" fontId="0" fillId="0" borderId="12" xfId="0" applyNumberFormat="1" applyBorder="1"/>
    <xf numFmtId="44" fontId="0" fillId="0" borderId="13" xfId="0" applyNumberFormat="1" applyBorder="1"/>
    <xf numFmtId="44" fontId="0" fillId="0" borderId="4" xfId="0" applyNumberFormat="1" applyBorder="1"/>
    <xf numFmtId="44" fontId="0" fillId="0" borderId="6" xfId="1" applyNumberFormat="1" applyFont="1" applyBorder="1"/>
    <xf numFmtId="44" fontId="0" fillId="0" borderId="9" xfId="1" applyNumberFormat="1" applyFont="1" applyBorder="1"/>
    <xf numFmtId="44" fontId="0" fillId="0" borderId="4" xfId="1" applyNumberFormat="1" applyFont="1" applyBorder="1"/>
    <xf numFmtId="44" fontId="0" fillId="0" borderId="6" xfId="1" applyNumberFormat="1" applyFont="1" applyFill="1" applyBorder="1"/>
    <xf numFmtId="44" fontId="0" fillId="0" borderId="9" xfId="1" applyNumberFormat="1" applyFont="1" applyFill="1" applyBorder="1"/>
    <xf numFmtId="44" fontId="0" fillId="0" borderId="14" xfId="1" applyNumberFormat="1" applyFont="1" applyBorder="1"/>
    <xf numFmtId="44" fontId="0" fillId="0" borderId="15" xfId="1" applyNumberFormat="1" applyFont="1" applyBorder="1"/>
    <xf numFmtId="44" fontId="0" fillId="2" borderId="14" xfId="1" applyNumberFormat="1" applyFont="1" applyFill="1" applyBorder="1"/>
    <xf numFmtId="44" fontId="0" fillId="0" borderId="13" xfId="1" applyNumberFormat="1" applyFont="1" applyBorder="1"/>
    <xf numFmtId="44" fontId="0" fillId="0" borderId="16" xfId="1" applyNumberFormat="1" applyFont="1" applyBorder="1"/>
    <xf numFmtId="44" fontId="3" fillId="0" borderId="17" xfId="0" applyNumberFormat="1" applyFont="1" applyBorder="1"/>
    <xf numFmtId="44" fontId="0" fillId="2" borderId="18" xfId="0" applyNumberFormat="1" applyFill="1" applyBorder="1"/>
    <xf numFmtId="44" fontId="0" fillId="0" borderId="18" xfId="1" applyNumberFormat="1" applyFont="1" applyBorder="1"/>
    <xf numFmtId="44" fontId="0" fillId="0" borderId="19" xfId="1" applyNumberFormat="1" applyFont="1" applyBorder="1"/>
    <xf numFmtId="44" fontId="0" fillId="2" borderId="14" xfId="0" applyNumberFormat="1" applyFill="1" applyBorder="1"/>
    <xf numFmtId="44" fontId="0" fillId="0" borderId="20" xfId="1" applyNumberFormat="1" applyFont="1" applyBorder="1"/>
    <xf numFmtId="0" fontId="0" fillId="0" borderId="0" xfId="0" applyAlignment="1">
      <alignment horizontal="right"/>
    </xf>
    <xf numFmtId="43" fontId="0" fillId="0" borderId="0" xfId="1" applyFont="1" applyAlignment="1">
      <alignment horizontal="right"/>
    </xf>
    <xf numFmtId="43" fontId="0" fillId="0" borderId="0" xfId="1" applyFont="1"/>
    <xf numFmtId="4" fontId="0" fillId="0" borderId="0" xfId="0" applyNumberFormat="1" applyAlignment="1">
      <alignment horizontal="right"/>
    </xf>
    <xf numFmtId="0" fontId="2" fillId="0" borderId="21" xfId="0" applyFont="1" applyBorder="1" applyAlignment="1">
      <alignment horizontal="center"/>
    </xf>
    <xf numFmtId="43" fontId="2" fillId="0" borderId="22" xfId="0" applyNumberFormat="1" applyFont="1" applyBorder="1"/>
    <xf numFmtId="0" fontId="2" fillId="0" borderId="22" xfId="0" applyFont="1" applyBorder="1"/>
    <xf numFmtId="43" fontId="4" fillId="0" borderId="23" xfId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5" fillId="5" borderId="1" xfId="0" applyFont="1" applyFill="1" applyBorder="1"/>
    <xf numFmtId="43" fontId="2" fillId="3" borderId="1" xfId="0" applyNumberFormat="1" applyFont="1" applyFill="1" applyBorder="1"/>
    <xf numFmtId="43" fontId="0" fillId="4" borderId="1" xfId="1" applyFont="1" applyFill="1" applyBorder="1" applyAlignment="1">
      <alignment horizontal="right"/>
    </xf>
    <xf numFmtId="43" fontId="5" fillId="5" borderId="1" xfId="0" applyNumberFormat="1" applyFont="1" applyFill="1" applyBorder="1"/>
    <xf numFmtId="0" fontId="0" fillId="4" borderId="1" xfId="0" applyFill="1" applyBorder="1" applyAlignment="1">
      <alignment horizontal="right"/>
    </xf>
    <xf numFmtId="0" fontId="2" fillId="3" borderId="1" xfId="0" applyFont="1" applyFill="1" applyBorder="1"/>
    <xf numFmtId="43" fontId="4" fillId="3" borderId="1" xfId="1" applyFont="1" applyFill="1" applyBorder="1" applyAlignment="1">
      <alignment horizontal="right"/>
    </xf>
    <xf numFmtId="43" fontId="0" fillId="4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087F-08C2-4DF2-9D7F-29110C554AB8}">
  <dimension ref="A1:X18"/>
  <sheetViews>
    <sheetView workbookViewId="0">
      <selection activeCell="X5" sqref="X5"/>
    </sheetView>
  </sheetViews>
  <sheetFormatPr defaultRowHeight="14.4" x14ac:dyDescent="0.3"/>
  <cols>
    <col min="1" max="1" width="16.88671875" bestFit="1" customWidth="1"/>
    <col min="2" max="3" width="9" hidden="1" customWidth="1"/>
    <col min="4" max="6" width="9.33203125" hidden="1" customWidth="1"/>
    <col min="7" max="7" width="10" hidden="1" customWidth="1"/>
    <col min="8" max="13" width="9.33203125" hidden="1" customWidth="1"/>
    <col min="14" max="14" width="13.33203125" bestFit="1" customWidth="1"/>
    <col min="15" max="15" width="10.21875" customWidth="1"/>
    <col min="16" max="16" width="12.33203125" bestFit="1" customWidth="1"/>
    <col min="17" max="22" width="12.33203125" hidden="1" customWidth="1"/>
    <col min="23" max="23" width="19.88671875" bestFit="1" customWidth="1"/>
    <col min="24" max="24" width="10.21875" bestFit="1" customWidth="1"/>
  </cols>
  <sheetData>
    <row r="1" spans="1:24" x14ac:dyDescent="0.3">
      <c r="A1" t="s">
        <v>93</v>
      </c>
    </row>
    <row r="3" spans="1:24" ht="15" thickBot="1" x14ac:dyDescent="0.35"/>
    <row r="4" spans="1:24" x14ac:dyDescent="0.3">
      <c r="A4" t="s">
        <v>118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103</v>
      </c>
      <c r="L4" t="s">
        <v>104</v>
      </c>
      <c r="M4" t="s">
        <v>105</v>
      </c>
      <c r="N4" s="45" t="s">
        <v>129</v>
      </c>
      <c r="O4" s="49" t="s">
        <v>119</v>
      </c>
      <c r="P4" s="50" t="s">
        <v>121</v>
      </c>
      <c r="Q4" s="50" t="s">
        <v>122</v>
      </c>
      <c r="R4" s="50" t="s">
        <v>123</v>
      </c>
      <c r="S4" s="50" t="s">
        <v>124</v>
      </c>
      <c r="T4" s="50" t="s">
        <v>127</v>
      </c>
      <c r="U4" s="50" t="s">
        <v>126</v>
      </c>
      <c r="V4" s="50" t="s">
        <v>125</v>
      </c>
      <c r="W4" s="50" t="s">
        <v>128</v>
      </c>
      <c r="X4" s="51" t="s">
        <v>120</v>
      </c>
    </row>
    <row r="5" spans="1:24" x14ac:dyDescent="0.3">
      <c r="A5" t="s">
        <v>114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2">
        <v>424.17</v>
      </c>
      <c r="H5" s="42">
        <v>424.17</v>
      </c>
      <c r="I5" s="42">
        <v>424.17</v>
      </c>
      <c r="J5" s="42">
        <v>424.17</v>
      </c>
      <c r="K5" s="42">
        <v>424.17</v>
      </c>
      <c r="L5" s="42">
        <v>424.17</v>
      </c>
      <c r="M5" s="42">
        <v>424.17</v>
      </c>
      <c r="N5" s="46">
        <f>SUM(B5:M5)</f>
        <v>2969.19</v>
      </c>
      <c r="O5" s="52">
        <f>300*7</f>
        <v>2100</v>
      </c>
      <c r="P5" s="53">
        <v>869.19</v>
      </c>
      <c r="Q5" s="53">
        <v>0</v>
      </c>
      <c r="R5" s="53">
        <v>0</v>
      </c>
      <c r="S5" s="53">
        <v>0</v>
      </c>
      <c r="T5" s="53">
        <v>0</v>
      </c>
      <c r="U5" s="53">
        <v>0</v>
      </c>
      <c r="V5" s="53">
        <v>0</v>
      </c>
      <c r="W5" s="53">
        <f>SUM(P5:V5)</f>
        <v>869.19</v>
      </c>
      <c r="X5" s="54">
        <f>N5-O5-W5</f>
        <v>0</v>
      </c>
    </row>
    <row r="6" spans="1:24" x14ac:dyDescent="0.3">
      <c r="A6" t="s">
        <v>106</v>
      </c>
      <c r="B6" s="42">
        <v>1844.54</v>
      </c>
      <c r="C6" s="42">
        <v>1844.54</v>
      </c>
      <c r="D6" s="44">
        <v>1844.54</v>
      </c>
      <c r="E6" s="44">
        <v>1844.54</v>
      </c>
      <c r="F6" s="44">
        <v>1844.54</v>
      </c>
      <c r="G6" s="44">
        <v>1844.54</v>
      </c>
      <c r="H6" s="44">
        <v>1844.54</v>
      </c>
      <c r="I6" s="44">
        <v>1844.54</v>
      </c>
      <c r="J6" s="44">
        <v>1844.54</v>
      </c>
      <c r="K6" s="44">
        <v>1844.54</v>
      </c>
      <c r="L6" s="44">
        <v>1844.54</v>
      </c>
      <c r="M6" s="44">
        <v>1844.54</v>
      </c>
      <c r="N6" s="46">
        <f t="shared" ref="N6:N16" si="0">SUM(B6:M6)</f>
        <v>22134.480000000007</v>
      </c>
      <c r="O6" s="52">
        <f>350*12</f>
        <v>4200</v>
      </c>
      <c r="P6" s="50">
        <v>10461.780000000001</v>
      </c>
      <c r="Q6" s="53">
        <v>0</v>
      </c>
      <c r="R6" s="50">
        <v>330.86</v>
      </c>
      <c r="S6" s="50">
        <v>1494.54</v>
      </c>
      <c r="T6" s="50">
        <v>1494.54</v>
      </c>
      <c r="U6" s="53">
        <v>0</v>
      </c>
      <c r="V6" s="50">
        <v>1494.54</v>
      </c>
      <c r="W6" s="53">
        <f t="shared" ref="W6:W18" si="1">SUM(P6:V6)</f>
        <v>15276.260000000002</v>
      </c>
      <c r="X6" s="54">
        <f t="shared" ref="X6:X18" si="2">N6-O6-W6</f>
        <v>2658.2200000000048</v>
      </c>
    </row>
    <row r="7" spans="1:24" x14ac:dyDescent="0.3">
      <c r="A7" t="s">
        <v>107</v>
      </c>
      <c r="B7" s="42">
        <v>467.53</v>
      </c>
      <c r="C7" s="42">
        <v>467.53</v>
      </c>
      <c r="D7" s="41">
        <v>467.53</v>
      </c>
      <c r="E7" s="41">
        <v>467.53</v>
      </c>
      <c r="F7" s="41">
        <v>467.53</v>
      </c>
      <c r="G7" s="41">
        <v>467.53</v>
      </c>
      <c r="H7" s="41">
        <v>467.53</v>
      </c>
      <c r="I7" s="41">
        <v>467.53</v>
      </c>
      <c r="J7" s="41">
        <v>467.53</v>
      </c>
      <c r="K7" s="41">
        <v>467.53</v>
      </c>
      <c r="L7" s="41">
        <v>467.53</v>
      </c>
      <c r="M7" s="41">
        <v>467.53</v>
      </c>
      <c r="N7" s="46">
        <f t="shared" si="0"/>
        <v>5610.3599999999979</v>
      </c>
      <c r="O7" s="52">
        <f>300*12</f>
        <v>3600</v>
      </c>
      <c r="P7" s="50">
        <v>1172.71</v>
      </c>
      <c r="Q7" s="50">
        <v>0</v>
      </c>
      <c r="R7" s="50">
        <v>61.41</v>
      </c>
      <c r="S7" s="50">
        <v>167.53</v>
      </c>
      <c r="T7" s="50">
        <v>167.53</v>
      </c>
      <c r="U7" s="53">
        <v>0</v>
      </c>
      <c r="V7" s="50">
        <v>167.53</v>
      </c>
      <c r="W7" s="53">
        <f t="shared" si="1"/>
        <v>1736.71</v>
      </c>
      <c r="X7" s="54">
        <f t="shared" si="2"/>
        <v>273.64999999999782</v>
      </c>
    </row>
    <row r="8" spans="1:24" x14ac:dyDescent="0.3">
      <c r="A8" t="s">
        <v>108</v>
      </c>
      <c r="B8" s="42">
        <v>816.14</v>
      </c>
      <c r="C8" s="42">
        <v>816.14</v>
      </c>
      <c r="D8" s="41">
        <v>816.14</v>
      </c>
      <c r="E8" s="41">
        <v>816.14</v>
      </c>
      <c r="F8" s="41">
        <v>816.14</v>
      </c>
      <c r="G8" s="41">
        <v>816.14</v>
      </c>
      <c r="H8" s="41">
        <v>816.14</v>
      </c>
      <c r="I8" s="41">
        <v>816.14</v>
      </c>
      <c r="J8" s="41">
        <v>816.14</v>
      </c>
      <c r="K8" s="41">
        <v>816.14</v>
      </c>
      <c r="L8" s="41">
        <v>816.14</v>
      </c>
      <c r="M8" s="41">
        <v>816.14</v>
      </c>
      <c r="N8" s="46">
        <f t="shared" si="0"/>
        <v>9793.68</v>
      </c>
      <c r="O8" s="52">
        <f>300*12</f>
        <v>3600</v>
      </c>
      <c r="P8" s="50">
        <v>3612.98</v>
      </c>
      <c r="Q8" s="50">
        <v>66.5</v>
      </c>
      <c r="R8" s="50">
        <v>516.14</v>
      </c>
      <c r="S8" s="50">
        <v>516.14</v>
      </c>
      <c r="T8" s="50">
        <v>516.14</v>
      </c>
      <c r="U8" s="53">
        <v>0</v>
      </c>
      <c r="V8" s="50">
        <v>516.14</v>
      </c>
      <c r="W8" s="53">
        <f t="shared" si="1"/>
        <v>5744.0400000000009</v>
      </c>
      <c r="X8" s="54">
        <f t="shared" si="2"/>
        <v>449.63999999999942</v>
      </c>
    </row>
    <row r="9" spans="1:24" x14ac:dyDescent="0.3">
      <c r="A9" t="s">
        <v>109</v>
      </c>
      <c r="B9" s="42">
        <v>528.48</v>
      </c>
      <c r="C9" s="42">
        <v>528.48</v>
      </c>
      <c r="D9" s="41">
        <v>528.48</v>
      </c>
      <c r="E9" s="41">
        <v>528.48</v>
      </c>
      <c r="F9" s="41">
        <v>528.48</v>
      </c>
      <c r="G9" s="41">
        <v>528.48</v>
      </c>
      <c r="H9" s="41">
        <v>528.48</v>
      </c>
      <c r="I9" s="41">
        <v>528.48</v>
      </c>
      <c r="J9" s="41">
        <v>528.48</v>
      </c>
      <c r="K9" s="41">
        <v>528.48</v>
      </c>
      <c r="L9" s="41">
        <v>528.48</v>
      </c>
      <c r="M9" s="41">
        <v>528.48</v>
      </c>
      <c r="N9" s="46">
        <f t="shared" si="0"/>
        <v>6341.7599999999984</v>
      </c>
      <c r="O9" s="52">
        <f>300*12</f>
        <v>3600</v>
      </c>
      <c r="P9" s="50">
        <v>1599.36</v>
      </c>
      <c r="Q9" s="50">
        <v>228.48</v>
      </c>
      <c r="R9" s="50">
        <v>228.48</v>
      </c>
      <c r="S9" s="50">
        <v>228.48</v>
      </c>
      <c r="T9" s="50">
        <v>228.48</v>
      </c>
      <c r="U9" s="53">
        <v>0</v>
      </c>
      <c r="V9" s="50">
        <v>228.48</v>
      </c>
      <c r="W9" s="53">
        <f t="shared" si="1"/>
        <v>2741.7599999999998</v>
      </c>
      <c r="X9" s="54">
        <f t="shared" si="2"/>
        <v>0</v>
      </c>
    </row>
    <row r="10" spans="1:24" x14ac:dyDescent="0.3">
      <c r="A10" t="s">
        <v>117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1">
        <v>571.32000000000005</v>
      </c>
      <c r="J10" s="41">
        <v>1846.74</v>
      </c>
      <c r="K10" s="41">
        <v>1846.74</v>
      </c>
      <c r="L10" s="41">
        <v>1846.74</v>
      </c>
      <c r="M10" s="41">
        <v>1846.74</v>
      </c>
      <c r="N10" s="46">
        <f t="shared" si="0"/>
        <v>7958.28</v>
      </c>
      <c r="O10" s="52">
        <f>300+(450*4)</f>
        <v>2100</v>
      </c>
      <c r="P10" s="55">
        <v>7151.23</v>
      </c>
      <c r="Q10" s="53">
        <v>0</v>
      </c>
      <c r="R10" s="53">
        <v>0</v>
      </c>
      <c r="S10" s="53">
        <v>0</v>
      </c>
      <c r="T10" s="53">
        <v>0</v>
      </c>
      <c r="U10" s="53">
        <v>0</v>
      </c>
      <c r="V10" s="53">
        <v>0</v>
      </c>
      <c r="W10" s="53">
        <f t="shared" si="1"/>
        <v>7151.23</v>
      </c>
      <c r="X10" s="54">
        <f t="shared" si="2"/>
        <v>-1292.9499999999998</v>
      </c>
    </row>
    <row r="11" spans="1:24" x14ac:dyDescent="0.3">
      <c r="A11" t="s">
        <v>110</v>
      </c>
      <c r="B11" s="42">
        <v>532.19000000000005</v>
      </c>
      <c r="C11" s="42">
        <v>532.19000000000005</v>
      </c>
      <c r="D11" s="41">
        <v>532.19000000000005</v>
      </c>
      <c r="E11" s="41">
        <v>532.19000000000005</v>
      </c>
      <c r="F11" s="41">
        <v>532.19000000000005</v>
      </c>
      <c r="G11" s="41">
        <v>532.19000000000005</v>
      </c>
      <c r="H11" s="41">
        <v>532.19000000000005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6">
        <f t="shared" si="0"/>
        <v>3725.3300000000004</v>
      </c>
      <c r="O11" s="52"/>
      <c r="P11" s="50"/>
      <c r="Q11" s="50"/>
      <c r="R11" s="50"/>
      <c r="S11" s="50"/>
      <c r="T11" s="50"/>
      <c r="U11" s="53"/>
      <c r="V11" s="50"/>
      <c r="W11" s="53">
        <f t="shared" si="1"/>
        <v>0</v>
      </c>
      <c r="X11" s="54">
        <v>0</v>
      </c>
    </row>
    <row r="12" spans="1:24" x14ac:dyDescent="0.3">
      <c r="A12" t="s">
        <v>111</v>
      </c>
      <c r="B12" s="42">
        <v>2001.18</v>
      </c>
      <c r="C12" s="42">
        <v>2001.18</v>
      </c>
      <c r="D12" s="44">
        <v>2001.18</v>
      </c>
      <c r="E12" s="44">
        <v>2001.18</v>
      </c>
      <c r="F12" s="44">
        <v>2001.18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6">
        <f t="shared" si="0"/>
        <v>10005.9</v>
      </c>
      <c r="O12" s="52"/>
      <c r="P12" s="50"/>
      <c r="Q12" s="50"/>
      <c r="R12" s="50"/>
      <c r="S12" s="50"/>
      <c r="T12" s="50"/>
      <c r="U12" s="53"/>
      <c r="V12" s="50"/>
      <c r="W12" s="53">
        <f t="shared" si="1"/>
        <v>0</v>
      </c>
      <c r="X12" s="54">
        <v>0</v>
      </c>
    </row>
    <row r="13" spans="1:24" x14ac:dyDescent="0.3">
      <c r="A13" t="s">
        <v>112</v>
      </c>
      <c r="B13" s="42">
        <v>1281.17</v>
      </c>
      <c r="C13" s="42">
        <v>1281.17</v>
      </c>
      <c r="D13" s="44">
        <v>1281.17</v>
      </c>
      <c r="E13" s="44">
        <v>1281.17</v>
      </c>
      <c r="F13" s="44">
        <v>1281.17</v>
      </c>
      <c r="G13" s="41">
        <v>1281.17</v>
      </c>
      <c r="H13" s="41">
        <v>1281.17</v>
      </c>
      <c r="I13" s="41">
        <v>1281.17</v>
      </c>
      <c r="J13" s="41">
        <v>1281.17</v>
      </c>
      <c r="K13" s="41">
        <v>1281.17</v>
      </c>
      <c r="L13" s="41">
        <v>1281.17</v>
      </c>
      <c r="M13" s="41">
        <v>1281.17</v>
      </c>
      <c r="N13" s="46">
        <f t="shared" si="0"/>
        <v>15374.04</v>
      </c>
      <c r="O13" s="52">
        <f>400*12</f>
        <v>4800</v>
      </c>
      <c r="P13" s="50">
        <v>6168.19</v>
      </c>
      <c r="Q13" s="50">
        <v>84.64</v>
      </c>
      <c r="R13" s="50">
        <v>881.17</v>
      </c>
      <c r="S13" s="50">
        <v>881.17</v>
      </c>
      <c r="T13" s="50">
        <v>881.17</v>
      </c>
      <c r="U13" s="53">
        <v>0</v>
      </c>
      <c r="V13" s="50">
        <v>881.17</v>
      </c>
      <c r="W13" s="53">
        <f t="shared" si="1"/>
        <v>9777.51</v>
      </c>
      <c r="X13" s="54">
        <f t="shared" si="2"/>
        <v>796.53000000000065</v>
      </c>
    </row>
    <row r="14" spans="1:24" x14ac:dyDescent="0.3">
      <c r="A14" t="s">
        <v>115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1">
        <v>407.27</v>
      </c>
      <c r="H14" s="41">
        <v>407.24</v>
      </c>
      <c r="I14" s="41">
        <v>407.24</v>
      </c>
      <c r="J14" s="41">
        <v>407.24</v>
      </c>
      <c r="K14" s="41">
        <v>407.25</v>
      </c>
      <c r="L14" s="41">
        <v>407.24</v>
      </c>
      <c r="M14" s="41">
        <v>407.24</v>
      </c>
      <c r="N14" s="46">
        <f t="shared" si="0"/>
        <v>2850.7200000000003</v>
      </c>
      <c r="O14" s="52">
        <f>300*7</f>
        <v>2100</v>
      </c>
      <c r="P14" s="50">
        <v>750.68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3">
        <v>0</v>
      </c>
      <c r="W14" s="53">
        <f t="shared" si="1"/>
        <v>750.68</v>
      </c>
      <c r="X14" s="54">
        <f t="shared" si="2"/>
        <v>4.0000000000304681E-2</v>
      </c>
    </row>
    <row r="15" spans="1:24" x14ac:dyDescent="0.3">
      <c r="A15" t="s">
        <v>113</v>
      </c>
      <c r="B15" s="42">
        <v>568.91</v>
      </c>
      <c r="C15" s="42">
        <v>568.91</v>
      </c>
      <c r="D15" s="41">
        <v>568.91</v>
      </c>
      <c r="E15" s="41">
        <v>568.91</v>
      </c>
      <c r="F15" s="41">
        <v>568.91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6">
        <f t="shared" si="0"/>
        <v>2844.5499999999997</v>
      </c>
      <c r="O15" s="52"/>
      <c r="P15" s="50"/>
      <c r="Q15" s="50"/>
      <c r="R15" s="50"/>
      <c r="S15" s="50"/>
      <c r="T15" s="50"/>
      <c r="U15" s="53"/>
      <c r="V15" s="50"/>
      <c r="W15" s="53">
        <f t="shared" si="1"/>
        <v>0</v>
      </c>
      <c r="X15" s="54">
        <v>0</v>
      </c>
    </row>
    <row r="16" spans="1:24" x14ac:dyDescent="0.3">
      <c r="A16" t="s">
        <v>116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1">
        <v>1632.62</v>
      </c>
      <c r="H16" s="41">
        <v>1632.62</v>
      </c>
      <c r="I16" s="41">
        <v>1632.63</v>
      </c>
      <c r="J16" s="42">
        <v>0</v>
      </c>
      <c r="K16" s="42">
        <v>0</v>
      </c>
      <c r="L16" s="42">
        <v>0</v>
      </c>
      <c r="M16" s="42">
        <v>0</v>
      </c>
      <c r="N16" s="46">
        <f t="shared" si="0"/>
        <v>4897.87</v>
      </c>
      <c r="O16" s="52"/>
      <c r="P16" s="50"/>
      <c r="Q16" s="50"/>
      <c r="R16" s="50"/>
      <c r="S16" s="50"/>
      <c r="T16" s="50"/>
      <c r="U16" s="53"/>
      <c r="V16" s="50"/>
      <c r="W16" s="53">
        <f t="shared" si="1"/>
        <v>0</v>
      </c>
      <c r="X16" s="54">
        <v>0</v>
      </c>
    </row>
    <row r="17" spans="2:24" x14ac:dyDescent="0.3">
      <c r="B17" s="43"/>
      <c r="C17" s="43"/>
      <c r="N17" s="47"/>
      <c r="O17" s="56"/>
      <c r="P17" s="50"/>
      <c r="Q17" s="50"/>
      <c r="R17" s="50"/>
      <c r="S17" s="50"/>
      <c r="T17" s="50"/>
      <c r="U17" s="53"/>
      <c r="V17" s="50"/>
      <c r="W17" s="53">
        <f t="shared" si="1"/>
        <v>0</v>
      </c>
      <c r="X17" s="54">
        <f t="shared" si="2"/>
        <v>0</v>
      </c>
    </row>
    <row r="18" spans="2:24" ht="16.8" thickBot="1" x14ac:dyDescent="0.5">
      <c r="B18" s="42">
        <f>SUM(B5:B16)</f>
        <v>8040.1399999999994</v>
      </c>
      <c r="C18" s="42">
        <f t="shared" ref="C18:M18" si="3">SUM(C5:C16)</f>
        <v>8040.1399999999994</v>
      </c>
      <c r="D18" s="42">
        <f t="shared" si="3"/>
        <v>8040.1399999999994</v>
      </c>
      <c r="E18" s="42">
        <f t="shared" si="3"/>
        <v>8040.1399999999994</v>
      </c>
      <c r="F18" s="42">
        <f t="shared" si="3"/>
        <v>8040.1399999999994</v>
      </c>
      <c r="G18" s="42">
        <f t="shared" si="3"/>
        <v>7934.11</v>
      </c>
      <c r="H18" s="42">
        <f t="shared" si="3"/>
        <v>7934.079999999999</v>
      </c>
      <c r="I18" s="42">
        <f t="shared" si="3"/>
        <v>7973.2199999999993</v>
      </c>
      <c r="J18" s="42">
        <f t="shared" si="3"/>
        <v>7616.0099999999993</v>
      </c>
      <c r="K18" s="42">
        <f t="shared" si="3"/>
        <v>7616.0199999999995</v>
      </c>
      <c r="L18" s="42">
        <f t="shared" si="3"/>
        <v>7616.0099999999993</v>
      </c>
      <c r="M18" s="42">
        <f t="shared" si="3"/>
        <v>7616.0099999999993</v>
      </c>
      <c r="N18" s="48">
        <f>SUM(B18:M18)</f>
        <v>94506.159999999989</v>
      </c>
      <c r="O18" s="57">
        <f>SUM(O5:O17)</f>
        <v>26100</v>
      </c>
      <c r="P18" s="58">
        <f>SUM(P5:P17)</f>
        <v>31786.12</v>
      </c>
      <c r="Q18" s="58">
        <f>SUM(Q5:Q17)</f>
        <v>379.62</v>
      </c>
      <c r="R18" s="58">
        <f t="shared" ref="Q18:V18" si="4">SUM(R5:R17)</f>
        <v>2018.06</v>
      </c>
      <c r="S18" s="58">
        <f t="shared" si="4"/>
        <v>3287.86</v>
      </c>
      <c r="T18" s="58">
        <f t="shared" si="4"/>
        <v>3287.86</v>
      </c>
      <c r="U18" s="58">
        <f t="shared" si="4"/>
        <v>0</v>
      </c>
      <c r="V18" s="58">
        <f t="shared" si="4"/>
        <v>3287.86</v>
      </c>
      <c r="W18" s="53">
        <f>SUM(W5:W17)</f>
        <v>44047.380000000005</v>
      </c>
      <c r="X18" s="54">
        <f>SUM(X5:X17)</f>
        <v>2885.1300000000033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12FA-72C2-47E7-9343-C54BF836B8D0}">
  <dimension ref="A2:Q169"/>
  <sheetViews>
    <sheetView tabSelected="1" topLeftCell="C1" zoomScale="104" workbookViewId="0">
      <selection activeCell="O13" sqref="O13"/>
    </sheetView>
  </sheetViews>
  <sheetFormatPr defaultRowHeight="14.4" x14ac:dyDescent="0.3"/>
  <cols>
    <col min="1" max="1" width="16.33203125" bestFit="1" customWidth="1"/>
    <col min="2" max="2" width="24.109375" bestFit="1" customWidth="1"/>
    <col min="3" max="9" width="10.88671875" style="11" bestFit="1" customWidth="1"/>
    <col min="10" max="15" width="9.109375" style="11"/>
    <col min="16" max="16" width="11.88671875" style="11" bestFit="1" customWidth="1"/>
    <col min="17" max="17" width="9.109375" style="11"/>
  </cols>
  <sheetData>
    <row r="2" spans="1:17" x14ac:dyDescent="0.3"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</row>
    <row r="3" spans="1:17" x14ac:dyDescent="0.3">
      <c r="A3" s="2" t="s">
        <v>15</v>
      </c>
      <c r="B3" s="3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24"/>
    </row>
    <row r="4" spans="1:17" x14ac:dyDescent="0.3">
      <c r="A4" s="4" t="s">
        <v>16</v>
      </c>
      <c r="B4" s="1" t="s">
        <v>17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3">
        <f>SUM(C4:O4)</f>
        <v>0</v>
      </c>
      <c r="Q4" s="25">
        <v>0</v>
      </c>
    </row>
    <row r="5" spans="1:17" x14ac:dyDescent="0.3">
      <c r="A5" s="4"/>
      <c r="B5" s="1" t="s">
        <v>18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3">
        <f>SUM(C5:O5)</f>
        <v>0</v>
      </c>
      <c r="Q5" s="25">
        <v>0</v>
      </c>
    </row>
    <row r="6" spans="1:17" x14ac:dyDescent="0.3">
      <c r="A6" s="4"/>
      <c r="B6" s="1" t="s">
        <v>19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3">
        <f>SUM(C6:O6)</f>
        <v>0</v>
      </c>
      <c r="Q6" s="25">
        <v>0</v>
      </c>
    </row>
    <row r="7" spans="1:17" x14ac:dyDescent="0.3">
      <c r="A7" s="4"/>
      <c r="B7" s="1" t="s">
        <v>20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0">
        <f>SUM(C7:O7)</f>
        <v>0</v>
      </c>
      <c r="Q7" s="40">
        <v>0</v>
      </c>
    </row>
    <row r="8" spans="1:17" x14ac:dyDescent="0.3">
      <c r="A8" s="5"/>
      <c r="B8" s="6" t="s">
        <v>21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7">
        <f>SUM(C8:O8)</f>
        <v>0</v>
      </c>
      <c r="Q8" s="38">
        <v>0</v>
      </c>
    </row>
    <row r="10" spans="1:17" x14ac:dyDescent="0.3">
      <c r="A10" s="2" t="s">
        <v>22</v>
      </c>
      <c r="B10" s="3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24"/>
    </row>
    <row r="11" spans="1:17" x14ac:dyDescent="0.3">
      <c r="A11" s="4" t="s">
        <v>23</v>
      </c>
      <c r="B11" s="1" t="s">
        <v>17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3">
        <f>SUM(C11:O11)</f>
        <v>0</v>
      </c>
      <c r="Q11" s="25">
        <v>0</v>
      </c>
    </row>
    <row r="12" spans="1:17" x14ac:dyDescent="0.3">
      <c r="A12" s="4"/>
      <c r="B12" s="1" t="s">
        <v>18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3">
        <f>SUM(C12:O12)</f>
        <v>0</v>
      </c>
      <c r="Q12" s="25">
        <v>0</v>
      </c>
    </row>
    <row r="13" spans="1:17" x14ac:dyDescent="0.3">
      <c r="A13" s="4"/>
      <c r="B13" s="1" t="s">
        <v>19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3">
        <f>SUM(C13:O13)</f>
        <v>0</v>
      </c>
      <c r="Q13" s="25">
        <v>0</v>
      </c>
    </row>
    <row r="14" spans="1:17" x14ac:dyDescent="0.3">
      <c r="A14" s="4"/>
      <c r="B14" s="1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3">
        <f>SUM(C14:O14)</f>
        <v>0</v>
      </c>
      <c r="Q14" s="25">
        <v>0</v>
      </c>
    </row>
    <row r="15" spans="1:17" x14ac:dyDescent="0.3">
      <c r="A15" s="5"/>
      <c r="B15" s="6" t="s">
        <v>21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/>
      <c r="K15" s="12"/>
      <c r="L15" s="12"/>
      <c r="M15" s="12"/>
      <c r="N15" s="12"/>
      <c r="O15" s="12"/>
      <c r="P15" s="12">
        <f>SUM(C15:O15)</f>
        <v>0</v>
      </c>
      <c r="Q15" s="26"/>
    </row>
    <row r="17" spans="1:17" x14ac:dyDescent="0.3">
      <c r="A17" s="2" t="s">
        <v>24</v>
      </c>
      <c r="B17" s="3"/>
      <c r="C17" s="9"/>
      <c r="D17" s="9"/>
      <c r="E17" s="9"/>
      <c r="F17" s="9"/>
      <c r="G17" s="9"/>
      <c r="H17" s="23"/>
      <c r="I17" s="9"/>
      <c r="J17" s="9"/>
      <c r="K17" s="9"/>
      <c r="L17" s="9"/>
      <c r="M17" s="9"/>
      <c r="N17" s="9"/>
      <c r="O17" s="9"/>
      <c r="P17" s="9"/>
      <c r="Q17" s="24"/>
    </row>
    <row r="18" spans="1:17" x14ac:dyDescent="0.3">
      <c r="A18" s="4" t="s">
        <v>25</v>
      </c>
      <c r="B18" s="1" t="s">
        <v>17</v>
      </c>
      <c r="C18" s="13">
        <v>1494.54</v>
      </c>
      <c r="D18" s="13">
        <v>1494.54</v>
      </c>
      <c r="E18" s="13">
        <v>1494.54</v>
      </c>
      <c r="F18" s="13">
        <v>1494.54</v>
      </c>
      <c r="G18" s="11">
        <v>1494.54</v>
      </c>
      <c r="H18" s="22">
        <v>1494.54</v>
      </c>
      <c r="I18" s="22">
        <v>1494.54</v>
      </c>
      <c r="J18" s="13"/>
      <c r="K18" s="13"/>
      <c r="L18" s="13"/>
      <c r="M18" s="13"/>
      <c r="N18" s="13"/>
      <c r="O18" s="13"/>
      <c r="P18" s="13">
        <f>SUM(C18:O18)</f>
        <v>10461.779999999999</v>
      </c>
      <c r="Q18" s="25"/>
    </row>
    <row r="19" spans="1:17" x14ac:dyDescent="0.3">
      <c r="A19" s="4"/>
      <c r="B19" s="1" t="s">
        <v>18</v>
      </c>
      <c r="C19" s="13">
        <v>200</v>
      </c>
      <c r="D19" s="13">
        <v>200</v>
      </c>
      <c r="E19" s="13">
        <v>200</v>
      </c>
      <c r="F19" s="13">
        <v>200</v>
      </c>
      <c r="G19" s="13">
        <v>200</v>
      </c>
      <c r="H19" s="21">
        <v>200</v>
      </c>
      <c r="I19" s="21">
        <v>200</v>
      </c>
      <c r="J19" s="13"/>
      <c r="K19" s="13"/>
      <c r="L19" s="13"/>
      <c r="M19" s="13"/>
      <c r="N19" s="13"/>
      <c r="O19" s="13"/>
      <c r="P19" s="13">
        <f>SUM(C19:O19)</f>
        <v>1400</v>
      </c>
      <c r="Q19" s="25"/>
    </row>
    <row r="20" spans="1:17" x14ac:dyDescent="0.3">
      <c r="A20" s="4"/>
      <c r="B20" s="1" t="s">
        <v>19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3">
        <f>SUM(C20:O20)</f>
        <v>0</v>
      </c>
      <c r="Q20" s="25">
        <v>0</v>
      </c>
    </row>
    <row r="21" spans="1:17" x14ac:dyDescent="0.3">
      <c r="A21" s="4"/>
      <c r="B21" s="1" t="s">
        <v>20</v>
      </c>
      <c r="C21" s="13"/>
      <c r="D21" s="13">
        <v>148</v>
      </c>
      <c r="E21" s="13">
        <v>74</v>
      </c>
      <c r="F21" s="13">
        <v>74</v>
      </c>
      <c r="G21" s="13">
        <v>74</v>
      </c>
      <c r="H21" s="13">
        <v>74</v>
      </c>
      <c r="I21" s="13">
        <v>74</v>
      </c>
      <c r="J21" s="13"/>
      <c r="K21" s="13"/>
      <c r="L21" s="13"/>
      <c r="M21" s="13"/>
      <c r="N21" s="13"/>
      <c r="O21" s="13"/>
      <c r="P21" s="13">
        <f>SUM(C21:O21)</f>
        <v>518</v>
      </c>
      <c r="Q21" s="25"/>
    </row>
    <row r="22" spans="1:17" x14ac:dyDescent="0.3">
      <c r="A22" s="5"/>
      <c r="B22" s="6" t="s">
        <v>21</v>
      </c>
      <c r="C22" s="12">
        <v>0</v>
      </c>
      <c r="D22" s="12">
        <v>275.24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/>
      <c r="K22" s="12"/>
      <c r="L22" s="12"/>
      <c r="M22" s="12"/>
      <c r="N22" s="12"/>
      <c r="O22" s="12"/>
      <c r="P22" s="12">
        <f>SUM(C22:O22)</f>
        <v>275.24</v>
      </c>
      <c r="Q22" s="26"/>
    </row>
    <row r="24" spans="1:17" x14ac:dyDescent="0.3">
      <c r="A24" s="2" t="s">
        <v>26</v>
      </c>
      <c r="B24" s="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27"/>
    </row>
    <row r="25" spans="1:17" x14ac:dyDescent="0.3">
      <c r="A25" s="4" t="s">
        <v>27</v>
      </c>
      <c r="B25" s="1" t="s">
        <v>17</v>
      </c>
      <c r="C25" s="13">
        <v>167.53</v>
      </c>
      <c r="D25" s="13">
        <v>167.53</v>
      </c>
      <c r="E25" s="13">
        <v>167.53</v>
      </c>
      <c r="F25" s="13">
        <v>167.53</v>
      </c>
      <c r="G25" s="13">
        <v>167.53</v>
      </c>
      <c r="H25" s="13">
        <v>167.53</v>
      </c>
      <c r="I25" s="13">
        <v>167.53</v>
      </c>
      <c r="J25" s="13"/>
      <c r="K25" s="13"/>
      <c r="L25" s="13"/>
      <c r="M25" s="13"/>
      <c r="N25" s="13"/>
      <c r="O25" s="13"/>
      <c r="P25" s="13">
        <f>SUM(C25:O25)</f>
        <v>1172.71</v>
      </c>
      <c r="Q25" s="25"/>
    </row>
    <row r="26" spans="1:17" x14ac:dyDescent="0.3">
      <c r="A26" s="4"/>
      <c r="B26" s="1" t="s">
        <v>18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3">
        <f>SUM(C26:O26)</f>
        <v>0</v>
      </c>
      <c r="Q26" s="25">
        <v>0</v>
      </c>
    </row>
    <row r="27" spans="1:17" x14ac:dyDescent="0.3">
      <c r="A27" s="4"/>
      <c r="B27" s="1" t="s">
        <v>19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3">
        <f>SUM(C27:O27)</f>
        <v>0</v>
      </c>
      <c r="Q27" s="25">
        <v>0</v>
      </c>
    </row>
    <row r="28" spans="1:17" x14ac:dyDescent="0.3">
      <c r="A28" s="4"/>
      <c r="B28" s="1" t="s">
        <v>20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3">
        <f>SUM(C28:O28)</f>
        <v>0</v>
      </c>
      <c r="Q28" s="25">
        <v>0</v>
      </c>
    </row>
    <row r="29" spans="1:17" x14ac:dyDescent="0.3">
      <c r="A29" s="5"/>
      <c r="B29" s="6" t="s">
        <v>21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/>
      <c r="K29" s="12"/>
      <c r="L29" s="12"/>
      <c r="M29" s="12"/>
      <c r="N29" s="12"/>
      <c r="O29" s="12"/>
      <c r="P29" s="12">
        <f>SUM(C29:O29)</f>
        <v>0</v>
      </c>
      <c r="Q29" s="26"/>
    </row>
    <row r="31" spans="1:17" x14ac:dyDescent="0.3">
      <c r="A31" s="2" t="s">
        <v>28</v>
      </c>
      <c r="B31" s="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27"/>
    </row>
    <row r="32" spans="1:17" x14ac:dyDescent="0.3">
      <c r="A32" s="4" t="s">
        <v>27</v>
      </c>
      <c r="B32" s="1" t="s">
        <v>17</v>
      </c>
      <c r="C32" s="13">
        <v>516.14</v>
      </c>
      <c r="D32" s="13">
        <v>516.14</v>
      </c>
      <c r="E32" s="13">
        <v>516.14</v>
      </c>
      <c r="F32" s="13">
        <v>516.14</v>
      </c>
      <c r="G32" s="13">
        <v>516.14</v>
      </c>
      <c r="H32" s="13">
        <v>516.14</v>
      </c>
      <c r="I32" s="13">
        <v>516.14</v>
      </c>
      <c r="J32" s="13"/>
      <c r="K32" s="13"/>
      <c r="L32" s="13"/>
      <c r="M32" s="13"/>
      <c r="N32" s="13"/>
      <c r="O32" s="13"/>
      <c r="P32" s="13">
        <f t="shared" ref="P32:P34" si="0">SUM(C32:O32)</f>
        <v>3612.9799999999996</v>
      </c>
      <c r="Q32" s="25"/>
    </row>
    <row r="33" spans="1:17" x14ac:dyDescent="0.3">
      <c r="A33" s="4"/>
      <c r="B33" s="1" t="s">
        <v>18</v>
      </c>
      <c r="C33" s="13">
        <v>600</v>
      </c>
      <c r="D33" s="13">
        <v>100</v>
      </c>
      <c r="E33" s="13">
        <v>350</v>
      </c>
      <c r="F33" s="13">
        <v>350</v>
      </c>
      <c r="G33" s="13">
        <v>350</v>
      </c>
      <c r="H33" s="13">
        <v>350</v>
      </c>
      <c r="I33" s="13">
        <v>350</v>
      </c>
      <c r="J33" s="13"/>
      <c r="K33" s="13"/>
      <c r="L33" s="13"/>
      <c r="M33" s="13"/>
      <c r="N33" s="13"/>
      <c r="O33" s="13"/>
      <c r="P33" s="13">
        <f t="shared" si="0"/>
        <v>2450</v>
      </c>
      <c r="Q33" s="25"/>
    </row>
    <row r="34" spans="1:17" x14ac:dyDescent="0.3">
      <c r="A34" s="4"/>
      <c r="B34" s="1" t="s">
        <v>19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3">
        <f t="shared" si="0"/>
        <v>0</v>
      </c>
      <c r="Q34" s="25">
        <v>0</v>
      </c>
    </row>
    <row r="35" spans="1:17" x14ac:dyDescent="0.3">
      <c r="A35" s="4"/>
      <c r="B35" s="1" t="s">
        <v>20</v>
      </c>
      <c r="C35" s="16">
        <v>0</v>
      </c>
      <c r="D35" s="16">
        <v>73.86</v>
      </c>
      <c r="E35" s="16">
        <v>36.93</v>
      </c>
      <c r="F35" s="16">
        <v>36.93</v>
      </c>
      <c r="G35" s="16">
        <v>36.93</v>
      </c>
      <c r="H35" s="16">
        <v>36.93</v>
      </c>
      <c r="I35" s="16">
        <v>36.93</v>
      </c>
      <c r="J35" s="16"/>
      <c r="K35" s="16"/>
      <c r="L35" s="16"/>
      <c r="M35" s="16"/>
      <c r="N35" s="16"/>
      <c r="O35" s="16"/>
      <c r="P35" s="13">
        <f>SUM(C35:O35)</f>
        <v>258.51</v>
      </c>
      <c r="Q35" s="25">
        <v>0</v>
      </c>
    </row>
    <row r="36" spans="1:17" x14ac:dyDescent="0.3">
      <c r="A36" s="5"/>
      <c r="B36" s="6" t="s">
        <v>21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/>
      <c r="K36" s="12"/>
      <c r="L36" s="12"/>
      <c r="M36" s="12"/>
      <c r="N36" s="12"/>
      <c r="O36" s="12"/>
      <c r="P36" s="12">
        <f>SUM(C36:O36)</f>
        <v>0</v>
      </c>
      <c r="Q36" s="26"/>
    </row>
    <row r="38" spans="1:17" x14ac:dyDescent="0.3">
      <c r="A38" s="2" t="s">
        <v>29</v>
      </c>
      <c r="B38" s="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27"/>
    </row>
    <row r="39" spans="1:17" x14ac:dyDescent="0.3">
      <c r="A39" s="4" t="s">
        <v>30</v>
      </c>
      <c r="B39" s="1" t="s">
        <v>17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3">
        <f>SUM(C39:O39)</f>
        <v>0</v>
      </c>
      <c r="Q39" s="25">
        <v>0</v>
      </c>
    </row>
    <row r="40" spans="1:17" x14ac:dyDescent="0.3">
      <c r="A40" s="4"/>
      <c r="B40" s="1" t="s">
        <v>18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3">
        <f>SUM(C40:O40)</f>
        <v>0</v>
      </c>
      <c r="Q40" s="25">
        <v>0</v>
      </c>
    </row>
    <row r="41" spans="1:17" x14ac:dyDescent="0.3">
      <c r="A41" s="4"/>
      <c r="B41" s="1" t="s">
        <v>19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3">
        <f>SUM(C41:O41)</f>
        <v>0</v>
      </c>
      <c r="Q41" s="25">
        <v>0</v>
      </c>
    </row>
    <row r="42" spans="1:17" x14ac:dyDescent="0.3">
      <c r="A42" s="4"/>
      <c r="B42" s="1" t="s">
        <v>20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3">
        <f>SUM(C42:O42)</f>
        <v>0</v>
      </c>
      <c r="Q42" s="25">
        <v>0</v>
      </c>
    </row>
    <row r="43" spans="1:17" x14ac:dyDescent="0.3">
      <c r="A43" s="5"/>
      <c r="B43" s="6" t="s">
        <v>21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/>
      <c r="K43" s="12"/>
      <c r="L43" s="12"/>
      <c r="M43" s="12"/>
      <c r="N43" s="12"/>
      <c r="O43" s="12"/>
      <c r="P43" s="12">
        <f>SUM(C43:O43)</f>
        <v>0</v>
      </c>
      <c r="Q43" s="26"/>
    </row>
    <row r="44" spans="1:17" x14ac:dyDescent="0.3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spans="1:17" x14ac:dyDescent="0.3">
      <c r="A45" s="2" t="s">
        <v>31</v>
      </c>
      <c r="B45" s="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27"/>
    </row>
    <row r="46" spans="1:17" x14ac:dyDescent="0.3">
      <c r="A46" s="4" t="s">
        <v>32</v>
      </c>
      <c r="B46" s="1" t="s">
        <v>17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3">
        <f>SUM(C46:O46)</f>
        <v>0</v>
      </c>
      <c r="Q46" s="25">
        <v>0</v>
      </c>
    </row>
    <row r="47" spans="1:17" x14ac:dyDescent="0.3">
      <c r="A47" s="4"/>
      <c r="B47" s="1" t="s">
        <v>18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3">
        <f>SUM(C47:O47)</f>
        <v>0</v>
      </c>
      <c r="Q47" s="25">
        <v>0</v>
      </c>
    </row>
    <row r="48" spans="1:17" x14ac:dyDescent="0.3">
      <c r="A48" s="4"/>
      <c r="B48" s="1" t="s">
        <v>19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3">
        <f>SUM(C48:O48)</f>
        <v>0</v>
      </c>
      <c r="Q48" s="25">
        <v>0</v>
      </c>
    </row>
    <row r="49" spans="1:17" x14ac:dyDescent="0.3">
      <c r="A49" s="4"/>
      <c r="B49" s="1" t="s">
        <v>20</v>
      </c>
      <c r="C49" s="13">
        <v>0</v>
      </c>
      <c r="D49" s="13">
        <v>36.93</v>
      </c>
      <c r="E49" s="13">
        <v>36.93</v>
      </c>
      <c r="F49" s="13">
        <v>36.93</v>
      </c>
      <c r="G49" s="13">
        <v>36.93</v>
      </c>
      <c r="H49" s="13">
        <v>36.93</v>
      </c>
      <c r="I49" s="13">
        <v>36.93</v>
      </c>
      <c r="J49" s="13"/>
      <c r="K49" s="13"/>
      <c r="L49" s="13"/>
      <c r="M49" s="13"/>
      <c r="N49" s="13"/>
      <c r="O49" s="13"/>
      <c r="P49" s="13">
        <f>SUM(C49:O49)</f>
        <v>221.58</v>
      </c>
      <c r="Q49" s="25"/>
    </row>
    <row r="50" spans="1:17" x14ac:dyDescent="0.3">
      <c r="A50" s="5"/>
      <c r="B50" s="6" t="s">
        <v>21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/>
      <c r="K50" s="12"/>
      <c r="L50" s="12"/>
      <c r="M50" s="12"/>
      <c r="N50" s="12"/>
      <c r="O50" s="12"/>
      <c r="P50" s="12">
        <f>SUM(C50:O50)</f>
        <v>0</v>
      </c>
      <c r="Q50" s="26"/>
    </row>
    <row r="51" spans="1:17" x14ac:dyDescent="0.3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</row>
    <row r="52" spans="1:17" x14ac:dyDescent="0.3">
      <c r="A52" s="2" t="s">
        <v>33</v>
      </c>
      <c r="B52" s="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27"/>
    </row>
    <row r="53" spans="1:17" x14ac:dyDescent="0.3">
      <c r="A53" s="4" t="s">
        <v>34</v>
      </c>
      <c r="B53" s="1" t="s">
        <v>17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3">
        <f>SUM(C53:O53)</f>
        <v>0</v>
      </c>
      <c r="Q53" s="25">
        <v>0</v>
      </c>
    </row>
    <row r="54" spans="1:17" x14ac:dyDescent="0.3">
      <c r="A54" s="4"/>
      <c r="B54" s="1" t="s">
        <v>18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3">
        <f>SUM(C54:O54)</f>
        <v>0</v>
      </c>
      <c r="Q54" s="25">
        <v>0</v>
      </c>
    </row>
    <row r="55" spans="1:17" x14ac:dyDescent="0.3">
      <c r="A55" s="4"/>
      <c r="B55" s="1" t="s">
        <v>19</v>
      </c>
      <c r="C55" s="13">
        <v>211.53</v>
      </c>
      <c r="D55" s="13">
        <v>211.53</v>
      </c>
      <c r="E55" s="13">
        <v>211.53</v>
      </c>
      <c r="F55" s="13">
        <v>211.53</v>
      </c>
      <c r="G55" s="13">
        <v>211.53</v>
      </c>
      <c r="H55" s="13">
        <v>211.53</v>
      </c>
      <c r="I55" s="13">
        <v>211.53</v>
      </c>
      <c r="J55" s="13"/>
      <c r="K55" s="13"/>
      <c r="L55" s="13"/>
      <c r="M55" s="13"/>
      <c r="N55" s="13"/>
      <c r="O55" s="13"/>
      <c r="P55" s="13">
        <f>SUM(C55:O55)</f>
        <v>1480.71</v>
      </c>
      <c r="Q55" s="25"/>
    </row>
    <row r="56" spans="1:17" x14ac:dyDescent="0.3">
      <c r="A56" s="4"/>
      <c r="B56" s="1" t="s">
        <v>20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3">
        <f>SUM(C56:O56)</f>
        <v>0</v>
      </c>
      <c r="Q56" s="25">
        <v>0</v>
      </c>
    </row>
    <row r="57" spans="1:17" x14ac:dyDescent="0.3">
      <c r="A57" s="5"/>
      <c r="B57" s="6" t="s">
        <v>21</v>
      </c>
      <c r="C57" s="12">
        <v>0</v>
      </c>
      <c r="D57" s="12">
        <v>449.98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/>
      <c r="K57" s="12"/>
      <c r="L57" s="12"/>
      <c r="M57" s="12"/>
      <c r="N57" s="12"/>
      <c r="O57" s="12"/>
      <c r="P57" s="12">
        <f>SUM(C57:O57)</f>
        <v>449.98</v>
      </c>
      <c r="Q57" s="26"/>
    </row>
    <row r="58" spans="1:17" x14ac:dyDescent="0.3"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</row>
    <row r="59" spans="1:17" x14ac:dyDescent="0.3">
      <c r="A59" s="2" t="s">
        <v>35</v>
      </c>
      <c r="B59" s="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27"/>
    </row>
    <row r="60" spans="1:17" x14ac:dyDescent="0.3">
      <c r="A60" s="4" t="s">
        <v>36</v>
      </c>
      <c r="B60" s="1" t="s">
        <v>17</v>
      </c>
      <c r="C60" s="13">
        <v>881.17</v>
      </c>
      <c r="D60" s="13">
        <v>881.17</v>
      </c>
      <c r="E60" s="13">
        <v>881.17</v>
      </c>
      <c r="F60" s="13">
        <v>881.17</v>
      </c>
      <c r="G60" s="13">
        <v>881.17</v>
      </c>
      <c r="H60" s="13">
        <v>881.17</v>
      </c>
      <c r="I60" s="13">
        <v>881.17</v>
      </c>
      <c r="J60" s="13"/>
      <c r="K60" s="13"/>
      <c r="L60" s="13"/>
      <c r="M60" s="13"/>
      <c r="N60" s="13"/>
      <c r="O60" s="13"/>
      <c r="P60" s="13">
        <f>SUM(C60:O60)</f>
        <v>6168.19</v>
      </c>
      <c r="Q60" s="25"/>
    </row>
    <row r="61" spans="1:17" x14ac:dyDescent="0.3">
      <c r="A61" s="4"/>
      <c r="B61" s="1" t="s">
        <v>18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3">
        <f>SUM(C61:O61)</f>
        <v>0</v>
      </c>
      <c r="Q61" s="25">
        <v>0</v>
      </c>
    </row>
    <row r="62" spans="1:17" x14ac:dyDescent="0.3">
      <c r="A62" s="4"/>
      <c r="B62" s="1" t="s">
        <v>19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3">
        <f>SUM(C62:O62)</f>
        <v>0</v>
      </c>
      <c r="Q62" s="25">
        <v>0</v>
      </c>
    </row>
    <row r="63" spans="1:17" x14ac:dyDescent="0.3">
      <c r="A63" s="4"/>
      <c r="B63" s="1" t="s">
        <v>20</v>
      </c>
      <c r="C63" s="13">
        <v>0</v>
      </c>
      <c r="D63" s="13">
        <v>257.36</v>
      </c>
      <c r="E63" s="13">
        <v>36.93</v>
      </c>
      <c r="F63" s="13">
        <v>36.93</v>
      </c>
      <c r="G63" s="13">
        <v>36.93</v>
      </c>
      <c r="H63" s="13">
        <v>36.93</v>
      </c>
      <c r="I63" s="13">
        <v>36.93</v>
      </c>
      <c r="J63" s="13"/>
      <c r="K63" s="13"/>
      <c r="L63" s="13"/>
      <c r="M63" s="13"/>
      <c r="N63" s="13"/>
      <c r="O63" s="13"/>
      <c r="P63" s="13">
        <f>SUM(C63:O63)</f>
        <v>442.01000000000005</v>
      </c>
      <c r="Q63" s="25"/>
    </row>
    <row r="64" spans="1:17" x14ac:dyDescent="0.3">
      <c r="A64" s="5"/>
      <c r="B64" s="6" t="s">
        <v>21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/>
      <c r="K64" s="12"/>
      <c r="L64" s="12"/>
      <c r="M64" s="12"/>
      <c r="N64" s="12"/>
      <c r="O64" s="12"/>
      <c r="P64" s="12">
        <f>SUM(C64:O64)</f>
        <v>0</v>
      </c>
      <c r="Q64" s="26"/>
    </row>
    <row r="65" spans="1:17" x14ac:dyDescent="0.3"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</row>
    <row r="66" spans="1:17" x14ac:dyDescent="0.3">
      <c r="A66" s="2" t="s">
        <v>37</v>
      </c>
      <c r="B66" s="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27"/>
    </row>
    <row r="67" spans="1:17" x14ac:dyDescent="0.3">
      <c r="A67" s="4" t="s">
        <v>38</v>
      </c>
      <c r="B67" s="1" t="s">
        <v>17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3">
        <f>SUM(C67:O67)</f>
        <v>0</v>
      </c>
      <c r="Q67" s="25">
        <v>0</v>
      </c>
    </row>
    <row r="68" spans="1:17" x14ac:dyDescent="0.3">
      <c r="A68" s="4"/>
      <c r="B68" s="1" t="s">
        <v>18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3">
        <f>SUM(C68:O68)</f>
        <v>0</v>
      </c>
      <c r="Q68" s="25">
        <v>0</v>
      </c>
    </row>
    <row r="69" spans="1:17" x14ac:dyDescent="0.3">
      <c r="A69" s="4"/>
      <c r="B69" s="1" t="s">
        <v>19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3">
        <f>SUM(C69:O69)</f>
        <v>0</v>
      </c>
      <c r="Q69" s="25">
        <v>0</v>
      </c>
    </row>
    <row r="70" spans="1:17" x14ac:dyDescent="0.3">
      <c r="A70" s="4"/>
      <c r="B70" s="1" t="s">
        <v>20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3">
        <f>SUM(C70:O70)</f>
        <v>0</v>
      </c>
      <c r="Q70" s="25">
        <v>0</v>
      </c>
    </row>
    <row r="71" spans="1:17" x14ac:dyDescent="0.3">
      <c r="A71" s="5"/>
      <c r="B71" s="6" t="s">
        <v>21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/>
      <c r="K71" s="12"/>
      <c r="L71" s="12"/>
      <c r="M71" s="12"/>
      <c r="N71" s="12"/>
      <c r="O71" s="12"/>
      <c r="P71" s="12">
        <f>SUM(C71:O71)</f>
        <v>0</v>
      </c>
      <c r="Q71" s="26"/>
    </row>
    <row r="72" spans="1:17" x14ac:dyDescent="0.3"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spans="1:17" x14ac:dyDescent="0.3">
      <c r="A73" s="2" t="s">
        <v>39</v>
      </c>
      <c r="B73" s="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27"/>
    </row>
    <row r="74" spans="1:17" x14ac:dyDescent="0.3">
      <c r="A74" s="4" t="s">
        <v>40</v>
      </c>
      <c r="B74" s="1" t="s">
        <v>17</v>
      </c>
      <c r="C74" s="13">
        <v>228.48</v>
      </c>
      <c r="D74" s="16">
        <v>228.48</v>
      </c>
      <c r="E74" s="13">
        <v>228.48</v>
      </c>
      <c r="F74" s="13">
        <v>228.48</v>
      </c>
      <c r="G74" s="13">
        <v>228.48</v>
      </c>
      <c r="H74" s="13">
        <v>228.48</v>
      </c>
      <c r="I74" s="13">
        <v>228.48</v>
      </c>
      <c r="J74" s="13"/>
      <c r="K74" s="13"/>
      <c r="L74" s="13"/>
      <c r="M74" s="13"/>
      <c r="N74" s="13"/>
      <c r="O74" s="13"/>
      <c r="P74" s="13">
        <f>SUM(C74:O74)</f>
        <v>1599.36</v>
      </c>
      <c r="Q74" s="25"/>
    </row>
    <row r="75" spans="1:17" x14ac:dyDescent="0.3">
      <c r="A75" s="4"/>
      <c r="B75" s="1" t="s">
        <v>18</v>
      </c>
      <c r="C75" s="13">
        <v>100</v>
      </c>
      <c r="D75" s="13">
        <v>100</v>
      </c>
      <c r="E75" s="13">
        <v>100</v>
      </c>
      <c r="F75" s="13">
        <v>100</v>
      </c>
      <c r="G75" s="13">
        <v>100</v>
      </c>
      <c r="H75" s="13">
        <v>100</v>
      </c>
      <c r="I75" s="13">
        <v>100</v>
      </c>
      <c r="J75" s="13"/>
      <c r="K75" s="13"/>
      <c r="L75" s="13"/>
      <c r="M75" s="13"/>
      <c r="N75" s="13"/>
      <c r="O75" s="13"/>
      <c r="P75" s="13">
        <f>SUM(C75:O75)</f>
        <v>700</v>
      </c>
      <c r="Q75" s="25"/>
    </row>
    <row r="76" spans="1:17" x14ac:dyDescent="0.3">
      <c r="A76" s="4"/>
      <c r="B76" s="1" t="s">
        <v>19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3">
        <f>SUM(C76:O76)</f>
        <v>0</v>
      </c>
      <c r="Q76" s="25">
        <v>0</v>
      </c>
    </row>
    <row r="77" spans="1:17" x14ac:dyDescent="0.3">
      <c r="A77" s="4"/>
      <c r="B77" s="1" t="s">
        <v>20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3">
        <f>SUM(C77:O77)</f>
        <v>0</v>
      </c>
      <c r="Q77" s="25">
        <v>0</v>
      </c>
    </row>
    <row r="78" spans="1:17" x14ac:dyDescent="0.3">
      <c r="A78" s="5"/>
      <c r="B78" s="6" t="s">
        <v>21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/>
      <c r="K78" s="12"/>
      <c r="L78" s="12"/>
      <c r="M78" s="12"/>
      <c r="N78" s="12"/>
      <c r="O78" s="12"/>
      <c r="P78" s="12">
        <f>SUM(C78:O78)</f>
        <v>0</v>
      </c>
      <c r="Q78" s="26"/>
    </row>
    <row r="79" spans="1:17" x14ac:dyDescent="0.3"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</row>
    <row r="80" spans="1:17" x14ac:dyDescent="0.3">
      <c r="A80" s="2" t="s">
        <v>41</v>
      </c>
      <c r="B80" s="3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27"/>
    </row>
    <row r="81" spans="1:17" x14ac:dyDescent="0.3">
      <c r="A81" s="4" t="s">
        <v>40</v>
      </c>
      <c r="B81" s="1" t="s">
        <v>17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3">
        <f>SUM(C81:O81)</f>
        <v>0</v>
      </c>
      <c r="Q81" s="25">
        <v>0</v>
      </c>
    </row>
    <row r="82" spans="1:17" x14ac:dyDescent="0.3">
      <c r="A82" s="4"/>
      <c r="B82" s="1" t="s">
        <v>18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>
        <f>SUM(C82:O82)</f>
        <v>0</v>
      </c>
      <c r="Q82" s="25"/>
    </row>
    <row r="83" spans="1:17" x14ac:dyDescent="0.3">
      <c r="A83" s="4"/>
      <c r="B83" s="1" t="s">
        <v>19</v>
      </c>
      <c r="C83" s="13">
        <v>211.53</v>
      </c>
      <c r="D83" s="13">
        <v>211.53</v>
      </c>
      <c r="E83" s="13">
        <v>211.53</v>
      </c>
      <c r="F83" s="13">
        <v>211.53</v>
      </c>
      <c r="G83" s="13">
        <v>211.53</v>
      </c>
      <c r="H83" s="30">
        <v>211.53</v>
      </c>
      <c r="I83" s="30">
        <v>211.53</v>
      </c>
      <c r="J83" s="13"/>
      <c r="K83" s="13"/>
      <c r="L83" s="13"/>
      <c r="M83" s="13"/>
      <c r="N83" s="13"/>
      <c r="O83" s="13"/>
      <c r="P83" s="13">
        <f>SUM(C83:O83)</f>
        <v>1480.71</v>
      </c>
      <c r="Q83" s="25"/>
    </row>
    <row r="84" spans="1:17" x14ac:dyDescent="0.3">
      <c r="A84" s="4"/>
      <c r="B84" s="1" t="s">
        <v>20</v>
      </c>
      <c r="C84" s="13"/>
      <c r="D84" s="13"/>
      <c r="E84" s="13"/>
      <c r="F84" s="13"/>
      <c r="G84" s="11">
        <v>128.68</v>
      </c>
      <c r="H84" s="22">
        <v>128.68</v>
      </c>
      <c r="I84" s="22">
        <v>128.68</v>
      </c>
      <c r="J84" s="13"/>
      <c r="K84" s="13"/>
      <c r="L84" s="13"/>
      <c r="M84" s="13"/>
      <c r="N84" s="13"/>
      <c r="O84" s="13"/>
      <c r="P84" s="13">
        <f>SUM(C84:O84)</f>
        <v>386.04</v>
      </c>
      <c r="Q84" s="25"/>
    </row>
    <row r="85" spans="1:17" x14ac:dyDescent="0.3">
      <c r="A85" s="5"/>
      <c r="B85" s="6" t="s">
        <v>21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31">
        <v>0</v>
      </c>
      <c r="I85" s="12">
        <v>0</v>
      </c>
      <c r="J85" s="12"/>
      <c r="K85" s="12"/>
      <c r="L85" s="12"/>
      <c r="M85" s="12"/>
      <c r="N85" s="12"/>
      <c r="O85" s="12"/>
      <c r="P85" s="12">
        <f>SUM(C85:O85)</f>
        <v>0</v>
      </c>
      <c r="Q85" s="26"/>
    </row>
    <row r="86" spans="1:17" x14ac:dyDescent="0.3"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 spans="1:17" x14ac:dyDescent="0.3">
      <c r="A87" s="2" t="s">
        <v>42</v>
      </c>
      <c r="B87" s="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27"/>
    </row>
    <row r="88" spans="1:17" x14ac:dyDescent="0.3">
      <c r="A88" s="4" t="s">
        <v>43</v>
      </c>
      <c r="B88" s="1" t="s">
        <v>17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3">
        <f>SUM(C88:O88)</f>
        <v>0</v>
      </c>
      <c r="Q88" s="25">
        <v>0</v>
      </c>
    </row>
    <row r="89" spans="1:17" x14ac:dyDescent="0.3">
      <c r="A89" s="4"/>
      <c r="B89" s="1" t="s">
        <v>18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>
        <f>SUM(C89:O89)</f>
        <v>0</v>
      </c>
      <c r="Q89" s="25"/>
    </row>
    <row r="90" spans="1:17" x14ac:dyDescent="0.3">
      <c r="A90" s="4"/>
      <c r="B90" s="1" t="s">
        <v>19</v>
      </c>
      <c r="C90" s="15"/>
      <c r="D90" s="15"/>
      <c r="E90" s="15"/>
      <c r="F90" s="15"/>
      <c r="G90" s="15"/>
      <c r="H90" s="32"/>
      <c r="I90" s="15"/>
      <c r="J90" s="15"/>
      <c r="K90" s="15"/>
      <c r="L90" s="15"/>
      <c r="M90" s="15"/>
      <c r="N90" s="15"/>
      <c r="O90" s="15"/>
      <c r="P90" s="13">
        <f>SUM(C90:O90)</f>
        <v>0</v>
      </c>
      <c r="Q90" s="25">
        <v>0</v>
      </c>
    </row>
    <row r="91" spans="1:17" x14ac:dyDescent="0.3">
      <c r="A91" s="4"/>
      <c r="B91" s="1" t="s">
        <v>20</v>
      </c>
      <c r="C91" s="13"/>
      <c r="D91" s="13"/>
      <c r="E91" s="13"/>
      <c r="F91" s="13"/>
      <c r="G91" s="11">
        <v>85.38</v>
      </c>
      <c r="H91" s="22">
        <v>85.38</v>
      </c>
      <c r="I91" s="22">
        <v>85.38</v>
      </c>
      <c r="J91" s="13"/>
      <c r="K91" s="13"/>
      <c r="L91" s="13"/>
      <c r="M91" s="13"/>
      <c r="N91" s="13"/>
      <c r="O91" s="13"/>
      <c r="P91" s="13">
        <f>SUM(C91:O91)</f>
        <v>256.14</v>
      </c>
      <c r="Q91" s="25"/>
    </row>
    <row r="92" spans="1:17" x14ac:dyDescent="0.3">
      <c r="A92" s="5"/>
      <c r="B92" s="6" t="s">
        <v>21</v>
      </c>
      <c r="C92" s="12">
        <v>0</v>
      </c>
      <c r="D92" s="12">
        <v>0</v>
      </c>
      <c r="E92" s="12">
        <v>0</v>
      </c>
      <c r="F92" s="12">
        <v>0</v>
      </c>
      <c r="G92" s="19">
        <v>881.82</v>
      </c>
      <c r="H92" s="31">
        <v>0</v>
      </c>
      <c r="I92" s="12">
        <v>0</v>
      </c>
      <c r="J92" s="12"/>
      <c r="K92" s="12"/>
      <c r="L92" s="12"/>
      <c r="M92" s="12"/>
      <c r="N92" s="12"/>
      <c r="O92" s="12"/>
      <c r="P92" s="12">
        <f>SUM(C92:O92)</f>
        <v>881.82</v>
      </c>
      <c r="Q92" s="26"/>
    </row>
    <row r="93" spans="1:17" x14ac:dyDescent="0.3"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spans="1:17" x14ac:dyDescent="0.3">
      <c r="A94" s="2" t="s">
        <v>44</v>
      </c>
      <c r="B94" s="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27"/>
    </row>
    <row r="95" spans="1:17" x14ac:dyDescent="0.3">
      <c r="A95" s="4" t="s">
        <v>27</v>
      </c>
      <c r="B95" s="1" t="s">
        <v>17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3">
        <f>SUM(C95:O95)</f>
        <v>0</v>
      </c>
      <c r="Q95" s="25">
        <v>0</v>
      </c>
    </row>
    <row r="96" spans="1:17" x14ac:dyDescent="0.3">
      <c r="A96" s="4"/>
      <c r="B96" s="1" t="s">
        <v>18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>
        <f>SUM(C96:O96)</f>
        <v>0</v>
      </c>
      <c r="Q96" s="25"/>
    </row>
    <row r="97" spans="1:17" x14ac:dyDescent="0.3">
      <c r="A97" s="4"/>
      <c r="B97" s="1" t="s">
        <v>19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3">
        <f>SUM(C97:O97)</f>
        <v>0</v>
      </c>
      <c r="Q97" s="25">
        <v>0</v>
      </c>
    </row>
    <row r="98" spans="1:17" x14ac:dyDescent="0.3">
      <c r="A98" s="4"/>
      <c r="B98" s="1" t="s">
        <v>20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>
        <f>SUM(C98:O98)</f>
        <v>0</v>
      </c>
      <c r="Q98" s="25"/>
    </row>
    <row r="99" spans="1:17" x14ac:dyDescent="0.3">
      <c r="A99" s="5"/>
      <c r="B99" s="6" t="s">
        <v>21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/>
      <c r="K99" s="12"/>
      <c r="L99" s="12"/>
      <c r="M99" s="12"/>
      <c r="N99" s="12"/>
      <c r="O99" s="12"/>
      <c r="P99" s="12">
        <f>SUM(C99:O99)</f>
        <v>0</v>
      </c>
      <c r="Q99" s="26"/>
    </row>
    <row r="100" spans="1:17" x14ac:dyDescent="0.3"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</row>
    <row r="101" spans="1:17" x14ac:dyDescent="0.3">
      <c r="A101" s="2" t="s">
        <v>45</v>
      </c>
      <c r="B101" s="3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27"/>
    </row>
    <row r="102" spans="1:17" x14ac:dyDescent="0.3">
      <c r="A102" s="4" t="s">
        <v>27</v>
      </c>
      <c r="B102" s="1" t="s">
        <v>17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3">
        <f>SUM(C102:O102)</f>
        <v>0</v>
      </c>
      <c r="Q102" s="25">
        <v>0</v>
      </c>
    </row>
    <row r="103" spans="1:17" x14ac:dyDescent="0.3">
      <c r="A103" s="4"/>
      <c r="B103" s="1" t="s">
        <v>18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>
        <f>SUM(C103:O103)</f>
        <v>0</v>
      </c>
      <c r="Q103" s="25"/>
    </row>
    <row r="104" spans="1:17" x14ac:dyDescent="0.3">
      <c r="A104" s="4"/>
      <c r="B104" s="1" t="s">
        <v>19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3">
        <f>SUM(C104:O104)</f>
        <v>0</v>
      </c>
      <c r="Q104" s="25">
        <v>0</v>
      </c>
    </row>
    <row r="105" spans="1:17" x14ac:dyDescent="0.3">
      <c r="A105" s="4"/>
      <c r="B105" s="1" t="s">
        <v>20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>
        <f>SUM(C105:O105)</f>
        <v>0</v>
      </c>
      <c r="Q105" s="25"/>
    </row>
    <row r="106" spans="1:17" x14ac:dyDescent="0.3">
      <c r="A106" s="5"/>
      <c r="B106" s="6" t="s">
        <v>21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/>
      <c r="K106" s="12"/>
      <c r="L106" s="12"/>
      <c r="M106" s="12"/>
      <c r="N106" s="12"/>
      <c r="O106" s="12"/>
      <c r="P106" s="12">
        <f>SUM(C106:O106)</f>
        <v>0</v>
      </c>
      <c r="Q106" s="26"/>
    </row>
    <row r="107" spans="1:17" x14ac:dyDescent="0.3"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 spans="1:17" x14ac:dyDescent="0.3">
      <c r="A108" s="2" t="s">
        <v>46</v>
      </c>
      <c r="B108" s="3"/>
      <c r="C108" s="14"/>
      <c r="D108" s="14"/>
      <c r="E108" s="14"/>
      <c r="F108" s="14"/>
      <c r="G108" s="14"/>
      <c r="H108" s="33"/>
      <c r="I108" s="14"/>
      <c r="J108" s="14"/>
      <c r="K108" s="14"/>
      <c r="L108" s="14"/>
      <c r="M108" s="14"/>
      <c r="N108" s="14"/>
      <c r="O108" s="14"/>
      <c r="P108" s="14"/>
      <c r="Q108" s="27"/>
    </row>
    <row r="109" spans="1:17" x14ac:dyDescent="0.3">
      <c r="A109" s="4" t="s">
        <v>40</v>
      </c>
      <c r="B109" s="1" t="s">
        <v>17</v>
      </c>
      <c r="C109" s="13">
        <v>124.17</v>
      </c>
      <c r="D109" s="13">
        <v>124.17</v>
      </c>
      <c r="E109" s="13">
        <v>124.17</v>
      </c>
      <c r="F109" s="13">
        <v>124.17</v>
      </c>
      <c r="G109" s="11">
        <v>124.17</v>
      </c>
      <c r="H109" s="22">
        <v>124.17</v>
      </c>
      <c r="I109" s="22">
        <v>124.17</v>
      </c>
      <c r="J109" s="13"/>
      <c r="K109" s="13"/>
      <c r="L109" s="13"/>
      <c r="M109" s="13"/>
      <c r="N109" s="13"/>
      <c r="O109" s="13"/>
      <c r="P109" s="13">
        <f>SUM(C109:O109)</f>
        <v>869.18999999999994</v>
      </c>
      <c r="Q109" s="25"/>
    </row>
    <row r="110" spans="1:17" x14ac:dyDescent="0.3">
      <c r="A110" s="4"/>
      <c r="B110" s="1" t="s">
        <v>18</v>
      </c>
      <c r="C110" s="13"/>
      <c r="D110" s="13"/>
      <c r="E110" s="13"/>
      <c r="F110" s="13"/>
      <c r="G110" s="13"/>
      <c r="H110" s="21"/>
      <c r="I110" s="13"/>
      <c r="J110" s="13"/>
      <c r="K110" s="13"/>
      <c r="L110" s="13"/>
      <c r="M110" s="13"/>
      <c r="N110" s="13"/>
      <c r="O110" s="13"/>
      <c r="P110" s="13">
        <f t="shared" ref="P110:P113" si="1">SUM(C110:O110)</f>
        <v>0</v>
      </c>
      <c r="Q110" s="25"/>
    </row>
    <row r="111" spans="1:17" x14ac:dyDescent="0.3">
      <c r="A111" s="4"/>
      <c r="B111" s="1" t="s">
        <v>19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3">
        <f t="shared" si="1"/>
        <v>0</v>
      </c>
      <c r="Q111" s="25">
        <v>0</v>
      </c>
    </row>
    <row r="112" spans="1:17" x14ac:dyDescent="0.3">
      <c r="A112" s="4"/>
      <c r="B112" s="1" t="s">
        <v>20</v>
      </c>
      <c r="C112" s="13">
        <v>36.93</v>
      </c>
      <c r="D112" s="11">
        <v>36.93</v>
      </c>
      <c r="E112" s="11">
        <v>36.93</v>
      </c>
      <c r="F112" s="11">
        <v>36.93</v>
      </c>
      <c r="G112" s="11">
        <v>36.93</v>
      </c>
      <c r="H112" s="11">
        <v>36.93</v>
      </c>
      <c r="I112" s="11">
        <v>36.93</v>
      </c>
      <c r="J112" s="13"/>
      <c r="K112" s="13"/>
      <c r="L112" s="13"/>
      <c r="M112" s="13"/>
      <c r="N112" s="13"/>
      <c r="O112" s="13"/>
      <c r="P112" s="13">
        <f t="shared" si="1"/>
        <v>258.51</v>
      </c>
      <c r="Q112" s="25"/>
    </row>
    <row r="113" spans="1:17" x14ac:dyDescent="0.3">
      <c r="A113" s="5"/>
      <c r="B113" s="6" t="s">
        <v>21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/>
      <c r="K113" s="12"/>
      <c r="L113" s="12"/>
      <c r="M113" s="12"/>
      <c r="N113" s="12"/>
      <c r="O113" s="12"/>
      <c r="P113" s="12">
        <f t="shared" si="1"/>
        <v>0</v>
      </c>
      <c r="Q113" s="26"/>
    </row>
    <row r="114" spans="1:17" x14ac:dyDescent="0.3"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</row>
    <row r="115" spans="1:17" x14ac:dyDescent="0.3">
      <c r="A115" s="2" t="s">
        <v>47</v>
      </c>
      <c r="B115" s="3"/>
      <c r="C115" s="14"/>
      <c r="D115" s="14"/>
      <c r="E115" s="14"/>
      <c r="F115" s="14"/>
      <c r="G115" s="14"/>
      <c r="H115" s="33"/>
      <c r="I115" s="14"/>
      <c r="J115" s="14"/>
      <c r="K115" s="14"/>
      <c r="L115" s="14"/>
      <c r="M115" s="14"/>
      <c r="N115" s="14"/>
      <c r="O115" s="14"/>
      <c r="P115" s="14"/>
      <c r="Q115" s="27"/>
    </row>
    <row r="116" spans="1:17" x14ac:dyDescent="0.3">
      <c r="A116" s="4" t="s">
        <v>27</v>
      </c>
      <c r="B116" s="1" t="s">
        <v>17</v>
      </c>
      <c r="C116" s="13">
        <v>107.24</v>
      </c>
      <c r="D116" s="13">
        <v>107.24</v>
      </c>
      <c r="E116" s="13">
        <v>107.24</v>
      </c>
      <c r="F116" s="13">
        <v>107.24</v>
      </c>
      <c r="G116" s="11">
        <v>107.24</v>
      </c>
      <c r="H116" s="22">
        <v>107.24</v>
      </c>
      <c r="I116" s="22">
        <v>107.24</v>
      </c>
      <c r="J116" s="13"/>
      <c r="K116" s="13"/>
      <c r="L116" s="13"/>
      <c r="M116" s="13"/>
      <c r="N116" s="13"/>
      <c r="O116" s="13"/>
      <c r="P116" s="13">
        <f>SUM(C116:O116)</f>
        <v>750.68</v>
      </c>
      <c r="Q116" s="25"/>
    </row>
    <row r="117" spans="1:17" x14ac:dyDescent="0.3">
      <c r="A117" s="4"/>
      <c r="B117" s="1" t="s">
        <v>18</v>
      </c>
      <c r="C117" s="13"/>
      <c r="D117" s="13"/>
      <c r="E117" s="13"/>
      <c r="F117" s="13"/>
      <c r="G117" s="13"/>
      <c r="H117" s="21"/>
      <c r="I117" s="13"/>
      <c r="J117" s="13"/>
      <c r="K117" s="13"/>
      <c r="L117" s="13"/>
      <c r="M117" s="13"/>
      <c r="N117" s="13"/>
      <c r="O117" s="13"/>
      <c r="P117" s="13">
        <f t="shared" ref="P117:P120" si="2">SUM(C117:O117)</f>
        <v>0</v>
      </c>
      <c r="Q117" s="25"/>
    </row>
    <row r="118" spans="1:17" x14ac:dyDescent="0.3">
      <c r="A118" s="4"/>
      <c r="B118" s="1" t="s">
        <v>19</v>
      </c>
      <c r="C118" s="15"/>
      <c r="D118" s="15"/>
      <c r="E118" s="15"/>
      <c r="F118" s="15"/>
      <c r="G118" s="15"/>
      <c r="H118" s="32"/>
      <c r="I118" s="15"/>
      <c r="J118" s="15"/>
      <c r="K118" s="15"/>
      <c r="L118" s="15"/>
      <c r="M118" s="15"/>
      <c r="N118" s="15"/>
      <c r="O118" s="15"/>
      <c r="P118" s="13">
        <f t="shared" si="2"/>
        <v>0</v>
      </c>
      <c r="Q118" s="25">
        <v>0</v>
      </c>
    </row>
    <row r="119" spans="1:17" x14ac:dyDescent="0.3">
      <c r="A119" s="4"/>
      <c r="B119" s="1" t="s">
        <v>20</v>
      </c>
      <c r="C119" s="13"/>
      <c r="D119" s="13"/>
      <c r="E119" s="13"/>
      <c r="F119" s="13"/>
      <c r="G119" s="11">
        <v>36.93</v>
      </c>
      <c r="H119" s="22">
        <v>36.93</v>
      </c>
      <c r="I119" s="22">
        <v>36.93</v>
      </c>
      <c r="J119" s="13"/>
      <c r="K119" s="13"/>
      <c r="L119" s="13"/>
      <c r="M119" s="13"/>
      <c r="N119" s="13"/>
      <c r="O119" s="13"/>
      <c r="P119" s="13">
        <f t="shared" si="2"/>
        <v>110.78999999999999</v>
      </c>
      <c r="Q119" s="25"/>
    </row>
    <row r="120" spans="1:17" x14ac:dyDescent="0.3">
      <c r="A120" s="5"/>
      <c r="B120" s="6" t="s">
        <v>21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31">
        <v>0</v>
      </c>
      <c r="I120" s="12">
        <v>0</v>
      </c>
      <c r="J120" s="12"/>
      <c r="K120" s="12"/>
      <c r="L120" s="12"/>
      <c r="M120" s="12"/>
      <c r="N120" s="12"/>
      <c r="O120" s="12"/>
      <c r="P120" s="12">
        <f t="shared" si="2"/>
        <v>0</v>
      </c>
      <c r="Q120" s="26"/>
    </row>
    <row r="121" spans="1:17" x14ac:dyDescent="0.3"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</row>
    <row r="122" spans="1:17" x14ac:dyDescent="0.3">
      <c r="A122" s="2" t="s">
        <v>48</v>
      </c>
      <c r="B122" s="3"/>
      <c r="C122" s="14"/>
      <c r="D122" s="14"/>
      <c r="E122" s="14"/>
      <c r="F122" s="14"/>
      <c r="G122" s="14"/>
      <c r="H122" s="33"/>
      <c r="I122" s="14"/>
      <c r="J122" s="14"/>
      <c r="K122" s="14"/>
      <c r="L122" s="14"/>
      <c r="M122" s="14"/>
      <c r="N122" s="14"/>
      <c r="O122" s="14"/>
      <c r="P122" s="14"/>
      <c r="Q122" s="27"/>
    </row>
    <row r="123" spans="1:17" x14ac:dyDescent="0.3">
      <c r="A123" s="4" t="s">
        <v>40</v>
      </c>
      <c r="B123" s="1" t="s">
        <v>17</v>
      </c>
      <c r="C123" s="13">
        <v>0</v>
      </c>
      <c r="D123" s="11">
        <v>167.53</v>
      </c>
      <c r="E123" s="11">
        <v>1396.74</v>
      </c>
      <c r="F123" s="11">
        <v>1396.74</v>
      </c>
      <c r="G123" s="11">
        <v>1396.74</v>
      </c>
      <c r="H123" s="22">
        <v>1396.74</v>
      </c>
      <c r="I123" s="22">
        <v>1396.74</v>
      </c>
      <c r="J123" s="13"/>
      <c r="K123" s="13"/>
      <c r="L123" s="13"/>
      <c r="M123" s="13"/>
      <c r="N123" s="13"/>
      <c r="O123" s="13"/>
      <c r="P123" s="13">
        <f>SUM(C123:O123)</f>
        <v>7151.23</v>
      </c>
      <c r="Q123" s="25"/>
    </row>
    <row r="124" spans="1:17" x14ac:dyDescent="0.3">
      <c r="A124" s="4"/>
      <c r="B124" s="1" t="s">
        <v>18</v>
      </c>
      <c r="C124" s="13"/>
      <c r="D124" s="13"/>
      <c r="E124" s="13"/>
      <c r="F124" s="13"/>
      <c r="G124" s="13"/>
      <c r="H124" s="21"/>
      <c r="I124" s="13"/>
      <c r="J124" s="13"/>
      <c r="K124" s="13"/>
      <c r="L124" s="13"/>
      <c r="M124" s="13"/>
      <c r="N124" s="13"/>
      <c r="O124" s="13"/>
      <c r="P124" s="13">
        <f t="shared" ref="P124:P127" si="3">SUM(C124:O124)</f>
        <v>0</v>
      </c>
      <c r="Q124" s="25"/>
    </row>
    <row r="125" spans="1:17" x14ac:dyDescent="0.3">
      <c r="A125" s="4"/>
      <c r="B125" s="1" t="s">
        <v>19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3">
        <f t="shared" si="3"/>
        <v>0</v>
      </c>
      <c r="Q125" s="25">
        <v>0</v>
      </c>
    </row>
    <row r="126" spans="1:17" x14ac:dyDescent="0.3">
      <c r="A126" s="4"/>
      <c r="B126" s="1" t="s">
        <v>20</v>
      </c>
      <c r="C126" s="13"/>
      <c r="D126" s="13"/>
      <c r="E126" s="13"/>
      <c r="F126" s="13"/>
      <c r="H126" s="13"/>
      <c r="I126" s="13"/>
      <c r="J126" s="13"/>
      <c r="K126" s="13"/>
      <c r="L126" s="13"/>
      <c r="M126" s="13"/>
      <c r="N126" s="13"/>
      <c r="O126" s="13"/>
      <c r="P126" s="13">
        <f t="shared" si="3"/>
        <v>0</v>
      </c>
      <c r="Q126" s="25"/>
    </row>
    <row r="127" spans="1:17" x14ac:dyDescent="0.3">
      <c r="A127" s="5"/>
      <c r="B127" s="6" t="s">
        <v>21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58.33</v>
      </c>
      <c r="I127" s="12">
        <v>70.010000000000005</v>
      </c>
      <c r="J127" s="12"/>
      <c r="K127" s="12"/>
      <c r="L127" s="12"/>
      <c r="M127" s="12"/>
      <c r="N127" s="12"/>
      <c r="O127" s="12"/>
      <c r="P127" s="12">
        <f t="shared" si="3"/>
        <v>128.34</v>
      </c>
      <c r="Q127" s="26"/>
    </row>
    <row r="128" spans="1:17" x14ac:dyDescent="0.3"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 spans="1:17" x14ac:dyDescent="0.3">
      <c r="A129" s="2" t="s">
        <v>49</v>
      </c>
      <c r="B129" s="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27"/>
    </row>
    <row r="130" spans="1:17" x14ac:dyDescent="0.3">
      <c r="A130" s="4" t="s">
        <v>40</v>
      </c>
      <c r="B130" s="1" t="s">
        <v>17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3">
        <f>SUM(C130:O130)</f>
        <v>0</v>
      </c>
      <c r="Q130" s="25">
        <v>0</v>
      </c>
    </row>
    <row r="131" spans="1:17" x14ac:dyDescent="0.3">
      <c r="A131" s="4"/>
      <c r="B131" s="1" t="s">
        <v>18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3">
        <f t="shared" ref="P131:P134" si="4">SUM(C131:O131)</f>
        <v>0</v>
      </c>
      <c r="Q131" s="25">
        <v>0</v>
      </c>
    </row>
    <row r="132" spans="1:17" x14ac:dyDescent="0.3">
      <c r="A132" s="4"/>
      <c r="B132" s="1" t="s">
        <v>19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3">
        <f t="shared" si="4"/>
        <v>0</v>
      </c>
      <c r="Q132" s="25">
        <v>0</v>
      </c>
    </row>
    <row r="133" spans="1:17" x14ac:dyDescent="0.3">
      <c r="A133" s="4"/>
      <c r="B133" s="1" t="s">
        <v>20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3">
        <f t="shared" si="4"/>
        <v>0</v>
      </c>
      <c r="Q133" s="25">
        <v>0</v>
      </c>
    </row>
    <row r="134" spans="1:17" x14ac:dyDescent="0.3">
      <c r="A134" s="5"/>
      <c r="B134" s="6" t="s">
        <v>21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/>
      <c r="K134" s="12"/>
      <c r="L134" s="12"/>
      <c r="M134" s="12"/>
      <c r="N134" s="12"/>
      <c r="O134" s="12"/>
      <c r="P134" s="12">
        <f t="shared" si="4"/>
        <v>0</v>
      </c>
      <c r="Q134" s="26"/>
    </row>
    <row r="135" spans="1:17" x14ac:dyDescent="0.3"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spans="1:17" x14ac:dyDescent="0.3">
      <c r="A136" s="2" t="s">
        <v>50</v>
      </c>
      <c r="B136" s="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27"/>
    </row>
    <row r="137" spans="1:17" x14ac:dyDescent="0.3">
      <c r="A137" s="4" t="s">
        <v>40</v>
      </c>
      <c r="B137" s="1" t="s">
        <v>17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3">
        <f>SUM(C137:O137)</f>
        <v>0</v>
      </c>
      <c r="Q137" s="25">
        <v>0</v>
      </c>
    </row>
    <row r="138" spans="1:17" x14ac:dyDescent="0.3">
      <c r="A138" s="4"/>
      <c r="B138" s="1" t="s">
        <v>18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3">
        <f t="shared" ref="P138:P141" si="5">SUM(C138:O138)</f>
        <v>0</v>
      </c>
      <c r="Q138" s="25">
        <v>0</v>
      </c>
    </row>
    <row r="139" spans="1:17" x14ac:dyDescent="0.3">
      <c r="A139" s="4"/>
      <c r="B139" s="1" t="s">
        <v>19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3">
        <f t="shared" si="5"/>
        <v>0</v>
      </c>
      <c r="Q139" s="25">
        <v>0</v>
      </c>
    </row>
    <row r="140" spans="1:17" x14ac:dyDescent="0.3">
      <c r="A140" s="4"/>
      <c r="B140" s="1" t="s">
        <v>20</v>
      </c>
      <c r="C140" s="15"/>
      <c r="D140" s="15"/>
      <c r="E140" s="15"/>
      <c r="F140" s="15"/>
      <c r="G140" s="15"/>
      <c r="H140" s="15"/>
      <c r="I140" s="32"/>
      <c r="J140" s="15"/>
      <c r="K140" s="15"/>
      <c r="L140" s="15"/>
      <c r="M140" s="15"/>
      <c r="N140" s="15"/>
      <c r="O140" s="15"/>
      <c r="P140" s="13">
        <f t="shared" si="5"/>
        <v>0</v>
      </c>
      <c r="Q140" s="25">
        <v>0</v>
      </c>
    </row>
    <row r="141" spans="1:17" x14ac:dyDescent="0.3">
      <c r="A141" s="5"/>
      <c r="B141" s="6" t="s">
        <v>21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20">
        <v>1764.2</v>
      </c>
      <c r="I141" s="35">
        <v>0</v>
      </c>
      <c r="J141" s="34"/>
      <c r="K141" s="12"/>
      <c r="L141" s="12"/>
      <c r="M141" s="12"/>
      <c r="N141" s="12"/>
      <c r="O141" s="12"/>
      <c r="P141" s="12">
        <f t="shared" si="5"/>
        <v>1764.2</v>
      </c>
      <c r="Q141" s="26"/>
    </row>
    <row r="142" spans="1:17" x14ac:dyDescent="0.3"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 spans="1:17" x14ac:dyDescent="0.3">
      <c r="A143" s="2" t="s">
        <v>51</v>
      </c>
      <c r="B143" s="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27"/>
    </row>
    <row r="144" spans="1:17" x14ac:dyDescent="0.3">
      <c r="A144" s="4"/>
      <c r="B144" s="1" t="s">
        <v>17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3">
        <f>SUM(C144:O144)</f>
        <v>0</v>
      </c>
      <c r="Q144" s="25">
        <v>0</v>
      </c>
    </row>
    <row r="145" spans="1:17" x14ac:dyDescent="0.3">
      <c r="A145" s="4"/>
      <c r="B145" s="1" t="s">
        <v>18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3">
        <f t="shared" ref="P145:P148" si="6">SUM(C145:O145)</f>
        <v>0</v>
      </c>
      <c r="Q145" s="25">
        <v>0</v>
      </c>
    </row>
    <row r="146" spans="1:17" x14ac:dyDescent="0.3">
      <c r="A146" s="4"/>
      <c r="B146" s="1" t="s">
        <v>19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3">
        <f t="shared" si="6"/>
        <v>0</v>
      </c>
      <c r="Q146" s="25">
        <v>0</v>
      </c>
    </row>
    <row r="147" spans="1:17" x14ac:dyDescent="0.3">
      <c r="A147" s="4"/>
      <c r="B147" s="1" t="s">
        <v>20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3">
        <f t="shared" si="6"/>
        <v>0</v>
      </c>
      <c r="Q147" s="25">
        <v>0</v>
      </c>
    </row>
    <row r="148" spans="1:17" x14ac:dyDescent="0.3">
      <c r="A148" s="5"/>
      <c r="B148" s="6" t="s">
        <v>21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/>
      <c r="K148" s="12"/>
      <c r="L148" s="12"/>
      <c r="M148" s="12"/>
      <c r="N148" s="12"/>
      <c r="O148" s="12"/>
      <c r="P148" s="12">
        <f t="shared" si="6"/>
        <v>0</v>
      </c>
      <c r="Q148" s="26"/>
    </row>
    <row r="149" spans="1:17" x14ac:dyDescent="0.3"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spans="1:17" x14ac:dyDescent="0.3">
      <c r="A150" s="2" t="s">
        <v>52</v>
      </c>
      <c r="B150" s="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27"/>
    </row>
    <row r="151" spans="1:17" x14ac:dyDescent="0.3">
      <c r="A151" s="4"/>
      <c r="B151" s="1" t="s">
        <v>17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3">
        <f>SUM(C151:O151)</f>
        <v>0</v>
      </c>
      <c r="Q151" s="25">
        <v>0</v>
      </c>
    </row>
    <row r="152" spans="1:17" x14ac:dyDescent="0.3">
      <c r="A152" s="4"/>
      <c r="B152" s="1" t="s">
        <v>18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3">
        <f t="shared" ref="P152:P155" si="7">SUM(C152:O152)</f>
        <v>0</v>
      </c>
      <c r="Q152" s="25">
        <v>0</v>
      </c>
    </row>
    <row r="153" spans="1:17" x14ac:dyDescent="0.3">
      <c r="A153" s="4"/>
      <c r="B153" s="1" t="s">
        <v>19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3">
        <f t="shared" si="7"/>
        <v>0</v>
      </c>
      <c r="Q153" s="25">
        <v>0</v>
      </c>
    </row>
    <row r="154" spans="1:17" x14ac:dyDescent="0.3">
      <c r="A154" s="4"/>
      <c r="B154" s="1" t="s">
        <v>20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3">
        <f t="shared" si="7"/>
        <v>0</v>
      </c>
      <c r="Q154" s="25">
        <v>0</v>
      </c>
    </row>
    <row r="155" spans="1:17" x14ac:dyDescent="0.3">
      <c r="A155" s="5"/>
      <c r="B155" s="6" t="s">
        <v>21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/>
      <c r="K155" s="12"/>
      <c r="L155" s="12"/>
      <c r="M155" s="12"/>
      <c r="N155" s="12"/>
      <c r="O155" s="12"/>
      <c r="P155" s="12">
        <f t="shared" si="7"/>
        <v>0</v>
      </c>
      <c r="Q155" s="26"/>
    </row>
    <row r="156" spans="1:17" x14ac:dyDescent="0.3"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</row>
    <row r="157" spans="1:17" x14ac:dyDescent="0.3">
      <c r="A157" s="2" t="s">
        <v>53</v>
      </c>
      <c r="B157" s="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27"/>
    </row>
    <row r="158" spans="1:17" x14ac:dyDescent="0.3">
      <c r="A158" s="4"/>
      <c r="B158" s="1" t="s">
        <v>17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3">
        <f>SUM(C158:O158)</f>
        <v>0</v>
      </c>
      <c r="Q158" s="25">
        <v>0</v>
      </c>
    </row>
    <row r="159" spans="1:17" x14ac:dyDescent="0.3">
      <c r="A159" s="4"/>
      <c r="B159" s="1" t="s">
        <v>18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3">
        <f t="shared" ref="P159:P162" si="8">SUM(C159:O159)</f>
        <v>0</v>
      </c>
      <c r="Q159" s="25">
        <v>0</v>
      </c>
    </row>
    <row r="160" spans="1:17" x14ac:dyDescent="0.3">
      <c r="A160" s="4"/>
      <c r="B160" s="1" t="s">
        <v>19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3">
        <f t="shared" si="8"/>
        <v>0</v>
      </c>
      <c r="Q160" s="25">
        <v>0</v>
      </c>
    </row>
    <row r="161" spans="1:17" x14ac:dyDescent="0.3">
      <c r="A161" s="4"/>
      <c r="B161" s="1" t="s">
        <v>20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3">
        <f t="shared" si="8"/>
        <v>0</v>
      </c>
      <c r="Q161" s="25">
        <v>0</v>
      </c>
    </row>
    <row r="162" spans="1:17" x14ac:dyDescent="0.3">
      <c r="A162" s="5"/>
      <c r="B162" s="6" t="s">
        <v>21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/>
      <c r="K162" s="12"/>
      <c r="L162" s="12"/>
      <c r="M162" s="12"/>
      <c r="N162" s="12"/>
      <c r="O162" s="12"/>
      <c r="P162" s="12">
        <f t="shared" si="8"/>
        <v>0</v>
      </c>
      <c r="Q162" s="26"/>
    </row>
    <row r="163" spans="1:17" x14ac:dyDescent="0.3"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</row>
    <row r="164" spans="1:17" x14ac:dyDescent="0.3">
      <c r="A164" s="2" t="s">
        <v>54</v>
      </c>
      <c r="B164" s="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27"/>
    </row>
    <row r="165" spans="1:17" x14ac:dyDescent="0.3">
      <c r="A165" s="4"/>
      <c r="B165" s="1" t="s">
        <v>17</v>
      </c>
      <c r="C165" s="16">
        <f>SUM(C4+C11+C18+C25+C32+C39+C46+C53+C60+C67+C74+C81+C88+C95+C102+C109+C116+C123+C130+C137+C144+C151+C158)</f>
        <v>3519.27</v>
      </c>
      <c r="D165" s="16">
        <f>SUM(D4+D11+D18+D25+D32+D39+D46+D53+D60+D67+D74+D81+D88+D95+D102+D109+D116+D123+D130+D137+D144+D151+D158)</f>
        <v>3686.8</v>
      </c>
      <c r="E165" s="16">
        <f>SUM(E4+E11+E18+E25+E32+E39+E46+E53+E60+E67+E74+E81+E88+E95+E102+E109+E116+E123+E130+E137+E144+E151+E158)</f>
        <v>4916.01</v>
      </c>
      <c r="F165" s="16">
        <f t="shared" ref="F165:P165" si="9">SUM(F4+F11+F18+F25+F32+F39+F46+F53+F60+F67+F74+F81+F88+F95+F102+F109+F116+F123+F130+F137+F144+F151+F158)</f>
        <v>4916.01</v>
      </c>
      <c r="G165" s="16">
        <f t="shared" si="9"/>
        <v>4916.01</v>
      </c>
      <c r="H165" s="16">
        <f t="shared" ref="H165:I169" si="10">SUM(H4+H11+H18+H25+H32+H39+H46+H53+H60+H67+H74+H81+H88+H95+H102+H109+H116+H123+H130+H137+H144+H151+H158)</f>
        <v>4916.01</v>
      </c>
      <c r="I165" s="16">
        <f t="shared" si="10"/>
        <v>4916.01</v>
      </c>
      <c r="J165" s="16">
        <f t="shared" si="9"/>
        <v>0</v>
      </c>
      <c r="K165" s="16">
        <f t="shared" si="9"/>
        <v>0</v>
      </c>
      <c r="L165" s="16">
        <f t="shared" si="9"/>
        <v>0</v>
      </c>
      <c r="M165" s="16">
        <f t="shared" si="9"/>
        <v>0</v>
      </c>
      <c r="N165" s="16">
        <f t="shared" si="9"/>
        <v>0</v>
      </c>
      <c r="O165" s="16">
        <f t="shared" si="9"/>
        <v>0</v>
      </c>
      <c r="P165" s="16">
        <f t="shared" si="9"/>
        <v>31786.119999999995</v>
      </c>
      <c r="Q165" s="28"/>
    </row>
    <row r="166" spans="1:17" x14ac:dyDescent="0.3">
      <c r="A166" s="4"/>
      <c r="B166" s="1" t="s">
        <v>18</v>
      </c>
      <c r="C166" s="16">
        <f t="shared" ref="C166:D168" si="11">SUM(C5+C12+C19+C26+C33+C40+C47+C54+C61+C68+C75+C82+C89+C96+C103+C110+C117+C124+C131+C138+C145+C152+C159)</f>
        <v>900</v>
      </c>
      <c r="D166" s="16">
        <f t="shared" si="11"/>
        <v>400</v>
      </c>
      <c r="E166" s="16">
        <f t="shared" ref="E166:P166" si="12">SUM(E5+E12+E19+E26+E33+E40+E47+E54+E61+E68+E75+E82+E89+E96+E103+E110+E117+E124+E131+E138+E145+E152+E159)</f>
        <v>650</v>
      </c>
      <c r="F166" s="16">
        <f t="shared" si="12"/>
        <v>650</v>
      </c>
      <c r="G166" s="16">
        <f t="shared" si="12"/>
        <v>650</v>
      </c>
      <c r="H166" s="16">
        <f t="shared" si="10"/>
        <v>650</v>
      </c>
      <c r="I166" s="16">
        <f t="shared" si="10"/>
        <v>650</v>
      </c>
      <c r="J166" s="16">
        <f t="shared" si="12"/>
        <v>0</v>
      </c>
      <c r="K166" s="16">
        <f t="shared" si="12"/>
        <v>0</v>
      </c>
      <c r="L166" s="16">
        <f t="shared" si="12"/>
        <v>0</v>
      </c>
      <c r="M166" s="16">
        <f t="shared" si="12"/>
        <v>0</v>
      </c>
      <c r="N166" s="16">
        <f t="shared" si="12"/>
        <v>0</v>
      </c>
      <c r="O166" s="16">
        <f t="shared" si="12"/>
        <v>0</v>
      </c>
      <c r="P166" s="16">
        <f t="shared" si="12"/>
        <v>4550</v>
      </c>
      <c r="Q166" s="28"/>
    </row>
    <row r="167" spans="1:17" x14ac:dyDescent="0.3">
      <c r="A167" s="4"/>
      <c r="B167" s="1" t="s">
        <v>19</v>
      </c>
      <c r="C167" s="16">
        <f t="shared" si="11"/>
        <v>423.06</v>
      </c>
      <c r="D167" s="16">
        <f t="shared" si="11"/>
        <v>423.06</v>
      </c>
      <c r="E167" s="16">
        <f t="shared" ref="E167:P167" si="13">SUM(E6+E13+E20+E27+E34+E41+E48+E55+E62+E69+E76+E83+E90+E97+E104+E111+E118+E125+E132+E139+E146+E153+E160)</f>
        <v>423.06</v>
      </c>
      <c r="F167" s="16">
        <f t="shared" si="13"/>
        <v>423.06</v>
      </c>
      <c r="G167" s="16">
        <f t="shared" si="13"/>
        <v>423.06</v>
      </c>
      <c r="H167" s="16">
        <f t="shared" si="10"/>
        <v>423.06</v>
      </c>
      <c r="I167" s="16">
        <f t="shared" si="10"/>
        <v>423.06</v>
      </c>
      <c r="J167" s="16">
        <f t="shared" si="13"/>
        <v>0</v>
      </c>
      <c r="K167" s="16">
        <f t="shared" si="13"/>
        <v>0</v>
      </c>
      <c r="L167" s="16">
        <f t="shared" si="13"/>
        <v>0</v>
      </c>
      <c r="M167" s="16">
        <f t="shared" si="13"/>
        <v>0</v>
      </c>
      <c r="N167" s="16">
        <f t="shared" si="13"/>
        <v>0</v>
      </c>
      <c r="O167" s="16">
        <f t="shared" si="13"/>
        <v>0</v>
      </c>
      <c r="P167" s="16">
        <f t="shared" si="13"/>
        <v>2961.42</v>
      </c>
      <c r="Q167" s="28"/>
    </row>
    <row r="168" spans="1:17" x14ac:dyDescent="0.3">
      <c r="A168" s="4"/>
      <c r="B168" s="1" t="s">
        <v>20</v>
      </c>
      <c r="C168" s="16">
        <f t="shared" si="11"/>
        <v>36.93</v>
      </c>
      <c r="D168" s="16">
        <f t="shared" si="11"/>
        <v>553.08000000000004</v>
      </c>
      <c r="E168" s="16">
        <f t="shared" ref="E168:P168" si="14">SUM(E7+E14+E21+E28+E35+E42+E49+E56+E63+E70+E77+E84+E91+E98+E105+E112+E119+E126+E133+E140+E147+E154+E161)</f>
        <v>221.72000000000003</v>
      </c>
      <c r="F168" s="16">
        <f t="shared" si="14"/>
        <v>221.72000000000003</v>
      </c>
      <c r="G168" s="16">
        <f>SUM(G7+G14+G21+G28+G35+G42+G49+G56+G63+G70+G77+G84+G91+G98+G105+G112+G119+G126+G133+G140+G147+G154+G161)</f>
        <v>472.71000000000004</v>
      </c>
      <c r="H168" s="16">
        <f t="shared" si="10"/>
        <v>472.71000000000004</v>
      </c>
      <c r="I168" s="16">
        <f t="shared" si="10"/>
        <v>472.71000000000004</v>
      </c>
      <c r="J168" s="16">
        <f t="shared" si="14"/>
        <v>0</v>
      </c>
      <c r="K168" s="16">
        <f t="shared" si="14"/>
        <v>0</v>
      </c>
      <c r="L168" s="16">
        <f t="shared" si="14"/>
        <v>0</v>
      </c>
      <c r="M168" s="16">
        <f t="shared" si="14"/>
        <v>0</v>
      </c>
      <c r="N168" s="16">
        <f t="shared" si="14"/>
        <v>0</v>
      </c>
      <c r="O168" s="16">
        <f t="shared" si="14"/>
        <v>0</v>
      </c>
      <c r="P168" s="16">
        <f t="shared" si="14"/>
        <v>2451.58</v>
      </c>
      <c r="Q168" s="28"/>
    </row>
    <row r="169" spans="1:17" x14ac:dyDescent="0.3">
      <c r="A169" s="5"/>
      <c r="B169" s="6" t="s">
        <v>21</v>
      </c>
      <c r="C169" s="18">
        <f>SUM(C8+C15+C22+C29+C36+C43+C50+C57+C64+C71+C78+C85+C92+C99+C106+C113+C120+C127+C134+C141+C148+C155+C162)</f>
        <v>0</v>
      </c>
      <c r="D169" s="18">
        <f t="shared" ref="D169:O169" si="15">SUM(D8+D15+D22+D29+D36+D43+D50+D57+D64+D71+D78+D85+D92+D99+D106+D113+D120+D127+D134+D141+D148+D155+D162)</f>
        <v>725.22</v>
      </c>
      <c r="E169" s="18">
        <f t="shared" si="15"/>
        <v>0</v>
      </c>
      <c r="F169" s="18">
        <f t="shared" si="15"/>
        <v>0</v>
      </c>
      <c r="G169" s="18">
        <f t="shared" si="15"/>
        <v>881.82</v>
      </c>
      <c r="H169" s="18">
        <f t="shared" si="10"/>
        <v>1822.53</v>
      </c>
      <c r="I169" s="18">
        <f t="shared" si="10"/>
        <v>70.010000000000005</v>
      </c>
      <c r="J169" s="18">
        <f t="shared" si="15"/>
        <v>0</v>
      </c>
      <c r="K169" s="18">
        <f t="shared" si="15"/>
        <v>0</v>
      </c>
      <c r="L169" s="18">
        <f t="shared" si="15"/>
        <v>0</v>
      </c>
      <c r="M169" s="18">
        <f t="shared" si="15"/>
        <v>0</v>
      </c>
      <c r="N169" s="18">
        <f t="shared" si="15"/>
        <v>0</v>
      </c>
      <c r="O169" s="18">
        <f t="shared" si="15"/>
        <v>0</v>
      </c>
      <c r="P169" s="18">
        <f>SUM(P8+P15+P22+P29+P36+P43+P50+P57+P64+P71+P78+P85+P92+P99+P106+P113+P120+P127+P134+P141+P148+P155+P162)</f>
        <v>3499.58</v>
      </c>
      <c r="Q169" s="29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A533-DB71-4100-96E2-C9DF57FD9E1E}">
  <dimension ref="A1:AD47"/>
  <sheetViews>
    <sheetView workbookViewId="0"/>
  </sheetViews>
  <sheetFormatPr defaultRowHeight="14.4" x14ac:dyDescent="0.3"/>
  <cols>
    <col min="2" max="2" width="15.6640625" bestFit="1" customWidth="1"/>
    <col min="3" max="18" width="8.88671875" customWidth="1"/>
    <col min="19" max="19" width="10.5546875" customWidth="1"/>
    <col min="20" max="20" width="12.44140625" customWidth="1"/>
    <col min="21" max="22" width="12.6640625" customWidth="1"/>
    <col min="23" max="23" width="13.44140625" customWidth="1"/>
    <col min="24" max="26" width="8.88671875" customWidth="1"/>
    <col min="27" max="27" width="13.6640625" customWidth="1"/>
    <col min="28" max="28" width="16.6640625" customWidth="1"/>
    <col min="29" max="30" width="8.88671875" customWidth="1"/>
  </cols>
  <sheetData>
    <row r="1" spans="1:30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</row>
    <row r="3" spans="1:30" x14ac:dyDescent="0.3">
      <c r="A3">
        <v>1</v>
      </c>
      <c r="B3" t="s">
        <v>15</v>
      </c>
      <c r="C3">
        <v>55.26</v>
      </c>
      <c r="F3">
        <v>82.89</v>
      </c>
      <c r="I3">
        <v>110.52</v>
      </c>
      <c r="O3">
        <v>10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85</v>
      </c>
    </row>
    <row r="5" spans="1:30" x14ac:dyDescent="0.3">
      <c r="A5">
        <v>2</v>
      </c>
      <c r="B5" t="s">
        <v>22</v>
      </c>
      <c r="C5">
        <v>55.26</v>
      </c>
      <c r="F5">
        <v>82.89</v>
      </c>
      <c r="I5">
        <v>110.52</v>
      </c>
      <c r="O5">
        <v>0</v>
      </c>
      <c r="P5">
        <v>3</v>
      </c>
      <c r="Q5">
        <v>1375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85</v>
      </c>
    </row>
    <row r="7" spans="1:30" x14ac:dyDescent="0.3">
      <c r="A7">
        <v>5</v>
      </c>
      <c r="B7" t="s">
        <v>24</v>
      </c>
      <c r="C7">
        <v>55.26</v>
      </c>
      <c r="F7">
        <v>82.89</v>
      </c>
      <c r="I7">
        <v>110.52</v>
      </c>
      <c r="O7">
        <v>0</v>
      </c>
      <c r="P7">
        <v>3</v>
      </c>
      <c r="Q7">
        <v>1265</v>
      </c>
      <c r="R7">
        <v>0</v>
      </c>
      <c r="S7">
        <v>1494.54</v>
      </c>
      <c r="T7">
        <v>0</v>
      </c>
      <c r="U7">
        <v>200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85</v>
      </c>
    </row>
    <row r="9" spans="1:30" x14ac:dyDescent="0.3">
      <c r="A9">
        <v>9</v>
      </c>
      <c r="B9" t="s">
        <v>26</v>
      </c>
      <c r="C9">
        <v>35</v>
      </c>
      <c r="F9">
        <v>52.5</v>
      </c>
      <c r="I9">
        <v>70</v>
      </c>
      <c r="O9">
        <v>0</v>
      </c>
      <c r="P9">
        <v>0</v>
      </c>
      <c r="Q9">
        <v>0</v>
      </c>
      <c r="R9">
        <v>0</v>
      </c>
      <c r="S9">
        <v>167.53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85</v>
      </c>
    </row>
    <row r="11" spans="1:30" x14ac:dyDescent="0.3">
      <c r="A11">
        <v>10</v>
      </c>
      <c r="B11" t="s">
        <v>86</v>
      </c>
      <c r="C11">
        <v>70</v>
      </c>
      <c r="F11">
        <v>105</v>
      </c>
      <c r="I11">
        <v>140</v>
      </c>
      <c r="O11">
        <v>0</v>
      </c>
      <c r="P11">
        <v>0</v>
      </c>
      <c r="Q11">
        <v>0</v>
      </c>
      <c r="R11">
        <v>0</v>
      </c>
      <c r="S11">
        <v>516.14</v>
      </c>
      <c r="T11">
        <v>0</v>
      </c>
      <c r="U11">
        <v>600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85</v>
      </c>
    </row>
    <row r="13" spans="1:30" x14ac:dyDescent="0.3">
      <c r="A13">
        <v>12</v>
      </c>
      <c r="B13" t="s">
        <v>29</v>
      </c>
      <c r="C13">
        <v>55.26</v>
      </c>
      <c r="F13">
        <v>82.89</v>
      </c>
      <c r="I13">
        <v>110.52</v>
      </c>
      <c r="O13">
        <v>0</v>
      </c>
      <c r="P13">
        <v>3</v>
      </c>
      <c r="Q13">
        <v>1269.23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85</v>
      </c>
    </row>
    <row r="15" spans="1:30" x14ac:dyDescent="0.3">
      <c r="A15">
        <v>13</v>
      </c>
      <c r="B15" t="s">
        <v>87</v>
      </c>
      <c r="C15">
        <v>25</v>
      </c>
      <c r="F15">
        <v>37.5</v>
      </c>
      <c r="I15">
        <v>50</v>
      </c>
      <c r="O15">
        <v>3</v>
      </c>
      <c r="P15">
        <v>3</v>
      </c>
      <c r="Q15">
        <v>0</v>
      </c>
      <c r="R15">
        <v>0</v>
      </c>
      <c r="S15">
        <v>228.77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85</v>
      </c>
    </row>
    <row r="17" spans="1:29" x14ac:dyDescent="0.3">
      <c r="A17">
        <v>17</v>
      </c>
      <c r="B17" t="s">
        <v>31</v>
      </c>
      <c r="C17">
        <v>55.26</v>
      </c>
      <c r="F17">
        <v>82.89</v>
      </c>
      <c r="I17">
        <v>110.52</v>
      </c>
      <c r="O17">
        <v>0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85</v>
      </c>
    </row>
    <row r="19" spans="1:29" x14ac:dyDescent="0.3">
      <c r="A19">
        <v>19</v>
      </c>
      <c r="B19" t="s">
        <v>33</v>
      </c>
      <c r="C19">
        <v>36.06</v>
      </c>
      <c r="F19">
        <v>54.09</v>
      </c>
      <c r="I19">
        <v>72.12</v>
      </c>
      <c r="O19">
        <v>4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211.53</v>
      </c>
      <c r="AB19">
        <v>0</v>
      </c>
      <c r="AC19" t="s">
        <v>85</v>
      </c>
    </row>
    <row r="21" spans="1:29" x14ac:dyDescent="0.3">
      <c r="A21">
        <v>20</v>
      </c>
      <c r="B21" t="s">
        <v>35</v>
      </c>
      <c r="C21">
        <v>55.26</v>
      </c>
      <c r="F21">
        <v>82.89</v>
      </c>
      <c r="I21">
        <v>110.52</v>
      </c>
      <c r="O21">
        <v>0</v>
      </c>
      <c r="P21">
        <v>3</v>
      </c>
      <c r="Q21">
        <v>1060.26</v>
      </c>
      <c r="R21">
        <v>0</v>
      </c>
      <c r="S21">
        <v>881.17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85</v>
      </c>
    </row>
    <row r="23" spans="1:29" x14ac:dyDescent="0.3">
      <c r="A23">
        <v>21</v>
      </c>
      <c r="B23" t="s">
        <v>88</v>
      </c>
      <c r="C23">
        <v>25</v>
      </c>
      <c r="F23">
        <v>37.5</v>
      </c>
      <c r="I23">
        <v>50</v>
      </c>
      <c r="O23">
        <v>3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85</v>
      </c>
    </row>
    <row r="25" spans="1:29" x14ac:dyDescent="0.3">
      <c r="A25">
        <v>23</v>
      </c>
      <c r="B25" t="s">
        <v>37</v>
      </c>
      <c r="C25">
        <v>25</v>
      </c>
      <c r="F25">
        <v>37.5</v>
      </c>
      <c r="I25">
        <v>50</v>
      </c>
      <c r="O25">
        <v>0</v>
      </c>
      <c r="P25">
        <v>3</v>
      </c>
      <c r="Q25">
        <v>500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85</v>
      </c>
    </row>
    <row r="27" spans="1:29" x14ac:dyDescent="0.3">
      <c r="A27">
        <v>28</v>
      </c>
      <c r="B27" t="s">
        <v>89</v>
      </c>
      <c r="C27">
        <v>30</v>
      </c>
      <c r="F27">
        <v>45</v>
      </c>
      <c r="I27">
        <v>60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85</v>
      </c>
    </row>
    <row r="29" spans="1:29" x14ac:dyDescent="0.3">
      <c r="A29">
        <v>30</v>
      </c>
      <c r="B29" t="s">
        <v>39</v>
      </c>
      <c r="C29">
        <v>48.07</v>
      </c>
      <c r="F29">
        <v>72.105000000000004</v>
      </c>
      <c r="I29">
        <v>96.14</v>
      </c>
      <c r="O29">
        <v>3</v>
      </c>
      <c r="P29">
        <v>3</v>
      </c>
      <c r="Q29">
        <v>0</v>
      </c>
      <c r="R29">
        <v>0</v>
      </c>
      <c r="S29">
        <v>228.48</v>
      </c>
      <c r="T29">
        <v>0</v>
      </c>
      <c r="U29">
        <v>100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85</v>
      </c>
    </row>
    <row r="31" spans="1:29" x14ac:dyDescent="0.3">
      <c r="A31">
        <v>31</v>
      </c>
      <c r="B31" t="s">
        <v>41</v>
      </c>
      <c r="C31">
        <v>55.26</v>
      </c>
      <c r="F31">
        <v>82.89</v>
      </c>
      <c r="I31">
        <v>110.52</v>
      </c>
      <c r="O31">
        <v>3</v>
      </c>
      <c r="P31">
        <v>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211.53</v>
      </c>
      <c r="AB31">
        <v>0</v>
      </c>
      <c r="AC31" t="s">
        <v>85</v>
      </c>
    </row>
    <row r="33" spans="1:29" x14ac:dyDescent="0.3">
      <c r="A33">
        <v>34</v>
      </c>
      <c r="B33" t="s">
        <v>42</v>
      </c>
      <c r="C33">
        <v>35</v>
      </c>
      <c r="F33">
        <v>52.5</v>
      </c>
      <c r="I33">
        <v>70</v>
      </c>
      <c r="O33">
        <v>6</v>
      </c>
      <c r="P33">
        <v>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85</v>
      </c>
    </row>
    <row r="35" spans="1:29" x14ac:dyDescent="0.3">
      <c r="A35">
        <v>35</v>
      </c>
      <c r="B35" t="s">
        <v>44</v>
      </c>
      <c r="C35">
        <v>55.26</v>
      </c>
      <c r="F35">
        <v>82.89</v>
      </c>
      <c r="I35">
        <v>110.52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85</v>
      </c>
    </row>
    <row r="37" spans="1:29" x14ac:dyDescent="0.3">
      <c r="A37">
        <v>36</v>
      </c>
      <c r="B37" t="s">
        <v>45</v>
      </c>
      <c r="C37">
        <v>48.08</v>
      </c>
      <c r="F37">
        <v>72.12</v>
      </c>
      <c r="I37">
        <v>96.16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85</v>
      </c>
    </row>
    <row r="39" spans="1:29" x14ac:dyDescent="0.3">
      <c r="A39">
        <v>39</v>
      </c>
      <c r="B39" t="s">
        <v>46</v>
      </c>
      <c r="C39">
        <v>35</v>
      </c>
      <c r="F39">
        <v>52.5</v>
      </c>
      <c r="I39">
        <v>70</v>
      </c>
      <c r="O39">
        <v>3</v>
      </c>
      <c r="P39">
        <v>3</v>
      </c>
      <c r="Q39">
        <v>0</v>
      </c>
      <c r="R39">
        <v>0</v>
      </c>
      <c r="S39">
        <v>124.17</v>
      </c>
      <c r="T39">
        <v>0</v>
      </c>
      <c r="U39">
        <v>0</v>
      </c>
      <c r="V39">
        <v>0</v>
      </c>
      <c r="W39">
        <v>36.93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85</v>
      </c>
    </row>
    <row r="41" spans="1:29" x14ac:dyDescent="0.3">
      <c r="A41">
        <v>40</v>
      </c>
      <c r="B41" t="s">
        <v>47</v>
      </c>
      <c r="C41">
        <v>31.25</v>
      </c>
      <c r="F41">
        <v>46.875</v>
      </c>
      <c r="I41">
        <v>62.5</v>
      </c>
      <c r="O41">
        <v>0</v>
      </c>
      <c r="P41">
        <v>0</v>
      </c>
      <c r="Q41">
        <v>0</v>
      </c>
      <c r="R41">
        <v>0</v>
      </c>
      <c r="S41">
        <v>107.24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85</v>
      </c>
    </row>
    <row r="43" spans="1:29" x14ac:dyDescent="0.3">
      <c r="A43">
        <v>42</v>
      </c>
      <c r="B43" t="s">
        <v>90</v>
      </c>
      <c r="C43">
        <v>28</v>
      </c>
      <c r="F43">
        <v>42</v>
      </c>
      <c r="I43">
        <v>56</v>
      </c>
      <c r="O43">
        <v>3</v>
      </c>
      <c r="P43">
        <v>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85</v>
      </c>
    </row>
    <row r="45" spans="1:29" x14ac:dyDescent="0.3">
      <c r="A45">
        <v>43</v>
      </c>
      <c r="B45" t="s">
        <v>48</v>
      </c>
      <c r="C45">
        <v>35</v>
      </c>
      <c r="F45">
        <v>52.5</v>
      </c>
      <c r="I45">
        <v>70</v>
      </c>
      <c r="O45">
        <v>3</v>
      </c>
      <c r="P45">
        <v>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85</v>
      </c>
    </row>
    <row r="47" spans="1:29" x14ac:dyDescent="0.3">
      <c r="A47">
        <v>45</v>
      </c>
      <c r="B47" t="s">
        <v>49</v>
      </c>
      <c r="C47">
        <v>35</v>
      </c>
      <c r="F47">
        <v>52.5</v>
      </c>
      <c r="I47">
        <v>70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C9FE-E0DC-44FC-BE9C-C96C552EF24F}">
  <dimension ref="A1:AD41"/>
  <sheetViews>
    <sheetView workbookViewId="0"/>
  </sheetViews>
  <sheetFormatPr defaultRowHeight="14.4" x14ac:dyDescent="0.3"/>
  <cols>
    <col min="19" max="19" width="13.44140625" customWidth="1"/>
    <col min="20" max="20" width="9.6640625" customWidth="1"/>
    <col min="21" max="21" width="11.88671875" customWidth="1"/>
    <col min="23" max="23" width="12.88671875" customWidth="1"/>
    <col min="27" max="27" width="13" customWidth="1"/>
  </cols>
  <sheetData>
    <row r="1" spans="1:30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</row>
    <row r="3" spans="1:30" x14ac:dyDescent="0.3">
      <c r="A3">
        <v>1</v>
      </c>
      <c r="B3" t="s">
        <v>15</v>
      </c>
      <c r="C3">
        <v>55.26</v>
      </c>
      <c r="E3">
        <v>0</v>
      </c>
      <c r="F3">
        <v>82.89</v>
      </c>
      <c r="I3">
        <v>110.52</v>
      </c>
      <c r="L3">
        <v>0</v>
      </c>
      <c r="M3">
        <v>0</v>
      </c>
      <c r="O3">
        <v>10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85</v>
      </c>
    </row>
    <row r="5" spans="1:30" x14ac:dyDescent="0.3">
      <c r="A5">
        <v>2</v>
      </c>
      <c r="B5" t="s">
        <v>22</v>
      </c>
      <c r="C5">
        <v>55.26</v>
      </c>
      <c r="E5">
        <v>0</v>
      </c>
      <c r="F5">
        <v>82.89</v>
      </c>
      <c r="I5">
        <v>110.52</v>
      </c>
      <c r="L5">
        <v>0</v>
      </c>
      <c r="O5">
        <v>0</v>
      </c>
      <c r="P5">
        <v>3</v>
      </c>
      <c r="Q5">
        <v>1375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85</v>
      </c>
    </row>
    <row r="7" spans="1:30" x14ac:dyDescent="0.3">
      <c r="A7">
        <v>5</v>
      </c>
      <c r="B7" t="s">
        <v>24</v>
      </c>
      <c r="C7">
        <v>55.26</v>
      </c>
      <c r="E7">
        <v>0</v>
      </c>
      <c r="F7">
        <v>82.89</v>
      </c>
      <c r="I7">
        <v>110.52</v>
      </c>
      <c r="O7">
        <v>0</v>
      </c>
      <c r="P7">
        <v>3</v>
      </c>
      <c r="Q7">
        <v>1265</v>
      </c>
      <c r="R7">
        <v>0</v>
      </c>
      <c r="S7">
        <v>1494.54</v>
      </c>
      <c r="T7">
        <v>0</v>
      </c>
      <c r="U7">
        <v>200</v>
      </c>
      <c r="V7">
        <v>0</v>
      </c>
      <c r="W7">
        <v>148</v>
      </c>
      <c r="X7">
        <v>0</v>
      </c>
      <c r="Y7">
        <v>275.24</v>
      </c>
      <c r="Z7">
        <v>0</v>
      </c>
      <c r="AA7">
        <v>0</v>
      </c>
      <c r="AB7">
        <v>0</v>
      </c>
      <c r="AC7" t="s">
        <v>85</v>
      </c>
    </row>
    <row r="9" spans="1:30" x14ac:dyDescent="0.3">
      <c r="A9">
        <v>9</v>
      </c>
      <c r="B9" t="s">
        <v>26</v>
      </c>
      <c r="C9">
        <v>35</v>
      </c>
      <c r="E9">
        <v>0</v>
      </c>
      <c r="F9">
        <v>52.5</v>
      </c>
      <c r="I9">
        <v>70</v>
      </c>
      <c r="O9">
        <v>0</v>
      </c>
      <c r="P9">
        <v>0</v>
      </c>
      <c r="Q9">
        <v>0</v>
      </c>
      <c r="R9">
        <v>0</v>
      </c>
      <c r="S9">
        <v>167.53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85</v>
      </c>
    </row>
    <row r="11" spans="1:30" x14ac:dyDescent="0.3">
      <c r="A11">
        <v>10</v>
      </c>
      <c r="B11" t="s">
        <v>86</v>
      </c>
      <c r="C11">
        <v>70</v>
      </c>
      <c r="E11">
        <v>0</v>
      </c>
      <c r="F11">
        <v>105</v>
      </c>
      <c r="I11">
        <v>140</v>
      </c>
      <c r="L11">
        <v>0</v>
      </c>
      <c r="O11">
        <v>0</v>
      </c>
      <c r="P11">
        <v>0</v>
      </c>
      <c r="Q11">
        <v>0</v>
      </c>
      <c r="R11">
        <v>0</v>
      </c>
      <c r="S11">
        <v>516.14</v>
      </c>
      <c r="T11">
        <v>0</v>
      </c>
      <c r="U11">
        <v>100</v>
      </c>
      <c r="V11">
        <v>0</v>
      </c>
      <c r="W11">
        <v>73.86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85</v>
      </c>
    </row>
    <row r="13" spans="1:30" x14ac:dyDescent="0.3">
      <c r="A13">
        <v>12</v>
      </c>
      <c r="B13" t="s">
        <v>29</v>
      </c>
      <c r="C13">
        <v>55.26</v>
      </c>
      <c r="E13">
        <v>0</v>
      </c>
      <c r="F13">
        <v>82.89</v>
      </c>
      <c r="I13">
        <v>110.52</v>
      </c>
      <c r="O13">
        <v>0</v>
      </c>
      <c r="P13">
        <v>3</v>
      </c>
      <c r="Q13">
        <v>1310.87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85</v>
      </c>
    </row>
    <row r="15" spans="1:30" x14ac:dyDescent="0.3">
      <c r="A15">
        <v>17</v>
      </c>
      <c r="B15" t="s">
        <v>31</v>
      </c>
      <c r="C15">
        <v>55.26</v>
      </c>
      <c r="E15">
        <v>0</v>
      </c>
      <c r="F15">
        <v>82.89</v>
      </c>
      <c r="I15">
        <v>110.52</v>
      </c>
      <c r="O15">
        <v>0</v>
      </c>
      <c r="P15">
        <v>6</v>
      </c>
      <c r="Q15">
        <v>2750</v>
      </c>
      <c r="R15">
        <v>0</v>
      </c>
      <c r="S15">
        <v>0</v>
      </c>
      <c r="T15">
        <v>0</v>
      </c>
      <c r="U15">
        <v>0</v>
      </c>
      <c r="V15">
        <v>0</v>
      </c>
      <c r="W15">
        <v>36.93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85</v>
      </c>
    </row>
    <row r="17" spans="1:29" x14ac:dyDescent="0.3">
      <c r="A17">
        <v>19</v>
      </c>
      <c r="B17" t="s">
        <v>33</v>
      </c>
      <c r="C17">
        <v>36.06</v>
      </c>
      <c r="E17">
        <v>0</v>
      </c>
      <c r="F17">
        <v>54.09</v>
      </c>
      <c r="I17">
        <v>72.12</v>
      </c>
      <c r="M17">
        <v>0</v>
      </c>
      <c r="O17">
        <v>4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449.98</v>
      </c>
      <c r="Z17">
        <v>0</v>
      </c>
      <c r="AA17">
        <v>211.53</v>
      </c>
      <c r="AB17">
        <v>0</v>
      </c>
      <c r="AC17" t="s">
        <v>85</v>
      </c>
    </row>
    <row r="19" spans="1:29" x14ac:dyDescent="0.3">
      <c r="A19">
        <v>20</v>
      </c>
      <c r="B19" t="s">
        <v>35</v>
      </c>
      <c r="C19">
        <v>55.26</v>
      </c>
      <c r="E19">
        <v>0</v>
      </c>
      <c r="F19">
        <v>82.89</v>
      </c>
      <c r="I19">
        <v>110.52</v>
      </c>
      <c r="O19">
        <v>0</v>
      </c>
      <c r="P19">
        <v>3</v>
      </c>
      <c r="Q19">
        <v>1060.26</v>
      </c>
      <c r="R19">
        <v>0</v>
      </c>
      <c r="S19">
        <v>881.17</v>
      </c>
      <c r="T19">
        <v>0</v>
      </c>
      <c r="U19">
        <v>0</v>
      </c>
      <c r="V19">
        <v>0</v>
      </c>
      <c r="W19">
        <v>257.36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85</v>
      </c>
    </row>
    <row r="21" spans="1:29" x14ac:dyDescent="0.3">
      <c r="A21">
        <v>23</v>
      </c>
      <c r="B21" t="s">
        <v>37</v>
      </c>
      <c r="C21">
        <v>25</v>
      </c>
      <c r="E21">
        <v>0</v>
      </c>
      <c r="F21">
        <v>37.5</v>
      </c>
      <c r="I21">
        <v>50</v>
      </c>
      <c r="O21">
        <v>0</v>
      </c>
      <c r="P21">
        <v>3</v>
      </c>
      <c r="Q21">
        <v>500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85</v>
      </c>
    </row>
    <row r="23" spans="1:29" x14ac:dyDescent="0.3">
      <c r="A23">
        <v>28</v>
      </c>
      <c r="B23" t="s">
        <v>89</v>
      </c>
      <c r="C23">
        <v>30</v>
      </c>
      <c r="E23">
        <v>0</v>
      </c>
      <c r="F23">
        <v>45</v>
      </c>
      <c r="I23">
        <v>60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85</v>
      </c>
    </row>
    <row r="25" spans="1:29" x14ac:dyDescent="0.3">
      <c r="A25">
        <v>30</v>
      </c>
      <c r="B25" t="s">
        <v>39</v>
      </c>
      <c r="C25">
        <v>48.07</v>
      </c>
      <c r="E25">
        <v>0</v>
      </c>
      <c r="F25">
        <v>72.105000000000004</v>
      </c>
      <c r="I25">
        <v>96.14</v>
      </c>
      <c r="O25">
        <v>3</v>
      </c>
      <c r="P25">
        <v>3</v>
      </c>
      <c r="Q25">
        <v>0</v>
      </c>
      <c r="R25">
        <v>0</v>
      </c>
      <c r="S25">
        <v>228.48</v>
      </c>
      <c r="T25">
        <v>0</v>
      </c>
      <c r="U25">
        <v>100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85</v>
      </c>
    </row>
    <row r="27" spans="1:29" x14ac:dyDescent="0.3">
      <c r="A27">
        <v>31</v>
      </c>
      <c r="B27" t="s">
        <v>41</v>
      </c>
      <c r="C27">
        <v>55.26</v>
      </c>
      <c r="E27">
        <v>0</v>
      </c>
      <c r="F27">
        <v>82.89</v>
      </c>
      <c r="I27">
        <v>110.52</v>
      </c>
      <c r="O27">
        <v>3</v>
      </c>
      <c r="P27">
        <v>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211.53</v>
      </c>
      <c r="AB27">
        <v>0</v>
      </c>
      <c r="AC27" t="s">
        <v>85</v>
      </c>
    </row>
    <row r="29" spans="1:29" x14ac:dyDescent="0.3">
      <c r="A29">
        <v>34</v>
      </c>
      <c r="B29" t="s">
        <v>42</v>
      </c>
      <c r="C29">
        <v>35</v>
      </c>
      <c r="E29">
        <v>0</v>
      </c>
      <c r="F29">
        <v>52.5</v>
      </c>
      <c r="I29">
        <v>70</v>
      </c>
      <c r="O29">
        <v>6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170.76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85</v>
      </c>
    </row>
    <row r="31" spans="1:29" x14ac:dyDescent="0.3">
      <c r="A31">
        <v>35</v>
      </c>
      <c r="B31" t="s">
        <v>44</v>
      </c>
      <c r="C31">
        <v>55.26</v>
      </c>
      <c r="E31">
        <v>0</v>
      </c>
      <c r="F31">
        <v>82.89</v>
      </c>
      <c r="I31">
        <v>110.52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85</v>
      </c>
    </row>
    <row r="33" spans="1:29" x14ac:dyDescent="0.3">
      <c r="A33">
        <v>36</v>
      </c>
      <c r="B33" t="s">
        <v>45</v>
      </c>
      <c r="C33">
        <v>48.08</v>
      </c>
      <c r="E33">
        <v>0</v>
      </c>
      <c r="F33">
        <v>72.12</v>
      </c>
      <c r="I33">
        <v>96.16</v>
      </c>
      <c r="M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85</v>
      </c>
    </row>
    <row r="35" spans="1:29" x14ac:dyDescent="0.3">
      <c r="A35">
        <v>39</v>
      </c>
      <c r="B35" t="s">
        <v>46</v>
      </c>
      <c r="C35">
        <v>35</v>
      </c>
      <c r="E35">
        <v>0</v>
      </c>
      <c r="F35">
        <v>52.5</v>
      </c>
      <c r="I35">
        <v>70</v>
      </c>
      <c r="O35">
        <v>3</v>
      </c>
      <c r="P35">
        <v>3</v>
      </c>
      <c r="Q35">
        <v>0</v>
      </c>
      <c r="R35">
        <v>0</v>
      </c>
      <c r="S35">
        <v>124.17</v>
      </c>
      <c r="T35">
        <v>0</v>
      </c>
      <c r="U35">
        <v>0</v>
      </c>
      <c r="V35">
        <v>0</v>
      </c>
      <c r="W35">
        <v>36.93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85</v>
      </c>
    </row>
    <row r="37" spans="1:29" x14ac:dyDescent="0.3">
      <c r="A37">
        <v>40</v>
      </c>
      <c r="B37" t="s">
        <v>47</v>
      </c>
      <c r="C37">
        <v>31.25</v>
      </c>
      <c r="E37">
        <v>0</v>
      </c>
      <c r="F37">
        <v>46.875</v>
      </c>
      <c r="I37">
        <v>62.5</v>
      </c>
      <c r="O37">
        <v>0</v>
      </c>
      <c r="P37">
        <v>0</v>
      </c>
      <c r="Q37">
        <v>0</v>
      </c>
      <c r="R37">
        <v>0</v>
      </c>
      <c r="S37">
        <v>107.24</v>
      </c>
      <c r="T37">
        <v>0</v>
      </c>
      <c r="U37">
        <v>0</v>
      </c>
      <c r="V37">
        <v>0</v>
      </c>
      <c r="W37">
        <v>73.86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85</v>
      </c>
    </row>
    <row r="39" spans="1:29" x14ac:dyDescent="0.3">
      <c r="A39">
        <v>43</v>
      </c>
      <c r="B39" t="s">
        <v>48</v>
      </c>
      <c r="C39">
        <v>35</v>
      </c>
      <c r="E39">
        <v>0</v>
      </c>
      <c r="F39">
        <v>52.5</v>
      </c>
      <c r="I39">
        <v>70</v>
      </c>
      <c r="L39">
        <v>0</v>
      </c>
      <c r="O39">
        <v>3</v>
      </c>
      <c r="P39">
        <v>3</v>
      </c>
      <c r="Q39">
        <v>0</v>
      </c>
      <c r="R39">
        <v>0</v>
      </c>
      <c r="S39">
        <v>167.53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85</v>
      </c>
    </row>
    <row r="41" spans="1:29" x14ac:dyDescent="0.3">
      <c r="A41">
        <v>45</v>
      </c>
      <c r="B41" t="s">
        <v>49</v>
      </c>
      <c r="C41">
        <v>35</v>
      </c>
      <c r="E41">
        <v>0</v>
      </c>
      <c r="F41">
        <v>52.5</v>
      </c>
      <c r="I41">
        <v>70</v>
      </c>
      <c r="O41">
        <v>3</v>
      </c>
      <c r="P41">
        <v>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E6A8-F0D3-48DD-BBEA-290F2EC6DE7C}">
  <dimension ref="A1:X43"/>
  <sheetViews>
    <sheetView workbookViewId="0"/>
  </sheetViews>
  <sheetFormatPr defaultRowHeight="14.4" x14ac:dyDescent="0.3"/>
  <cols>
    <col min="13" max="13" width="14.33203125" customWidth="1"/>
    <col min="15" max="15" width="9.6640625" customWidth="1"/>
    <col min="17" max="17" width="12.6640625" customWidth="1"/>
    <col min="21" max="21" width="13.33203125" customWidth="1"/>
  </cols>
  <sheetData>
    <row r="1" spans="1:24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</row>
    <row r="3" spans="1:24" x14ac:dyDescent="0.3">
      <c r="A3">
        <v>1</v>
      </c>
      <c r="B3" t="s">
        <v>15</v>
      </c>
      <c r="C3">
        <v>55.26</v>
      </c>
      <c r="E3">
        <v>0</v>
      </c>
      <c r="F3">
        <v>0</v>
      </c>
      <c r="G3">
        <v>0</v>
      </c>
      <c r="I3">
        <v>10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85</v>
      </c>
    </row>
    <row r="5" spans="1:24" x14ac:dyDescent="0.3">
      <c r="A5">
        <v>2</v>
      </c>
      <c r="B5" t="s">
        <v>22</v>
      </c>
      <c r="C5">
        <v>55.26</v>
      </c>
      <c r="E5">
        <v>0</v>
      </c>
      <c r="F5">
        <v>0</v>
      </c>
      <c r="I5">
        <v>0</v>
      </c>
      <c r="J5">
        <v>3</v>
      </c>
      <c r="K5">
        <v>1375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85</v>
      </c>
    </row>
    <row r="7" spans="1:24" x14ac:dyDescent="0.3">
      <c r="A7">
        <v>5</v>
      </c>
      <c r="B7" t="s">
        <v>24</v>
      </c>
      <c r="C7">
        <v>55.26</v>
      </c>
      <c r="E7">
        <v>0</v>
      </c>
      <c r="I7">
        <v>0</v>
      </c>
      <c r="J7">
        <v>3</v>
      </c>
      <c r="K7">
        <v>1265</v>
      </c>
      <c r="L7">
        <v>0</v>
      </c>
      <c r="M7">
        <v>1494.54</v>
      </c>
      <c r="N7">
        <v>0</v>
      </c>
      <c r="O7">
        <v>200</v>
      </c>
      <c r="P7">
        <v>0</v>
      </c>
      <c r="Q7">
        <v>74</v>
      </c>
      <c r="R7">
        <v>0</v>
      </c>
      <c r="S7">
        <v>0</v>
      </c>
      <c r="T7">
        <v>0</v>
      </c>
      <c r="U7">
        <v>0</v>
      </c>
      <c r="V7">
        <v>0</v>
      </c>
      <c r="W7" t="s">
        <v>85</v>
      </c>
    </row>
    <row r="9" spans="1:24" x14ac:dyDescent="0.3">
      <c r="A9">
        <v>9</v>
      </c>
      <c r="B9" t="s">
        <v>26</v>
      </c>
      <c r="C9">
        <v>35</v>
      </c>
      <c r="E9">
        <v>0</v>
      </c>
      <c r="I9">
        <v>0</v>
      </c>
      <c r="J9">
        <v>0</v>
      </c>
      <c r="K9">
        <v>0</v>
      </c>
      <c r="L9">
        <v>0</v>
      </c>
      <c r="M9">
        <v>167.53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85</v>
      </c>
    </row>
    <row r="11" spans="1:24" x14ac:dyDescent="0.3">
      <c r="A11">
        <v>10</v>
      </c>
      <c r="B11" t="s">
        <v>86</v>
      </c>
      <c r="C11">
        <v>70</v>
      </c>
      <c r="E11">
        <v>0</v>
      </c>
      <c r="F11">
        <v>0</v>
      </c>
      <c r="I11">
        <v>0</v>
      </c>
      <c r="J11">
        <v>0</v>
      </c>
      <c r="K11">
        <v>0</v>
      </c>
      <c r="L11">
        <v>0</v>
      </c>
      <c r="M11">
        <v>516.14</v>
      </c>
      <c r="N11">
        <v>0</v>
      </c>
      <c r="O11">
        <v>350</v>
      </c>
      <c r="P11">
        <v>0</v>
      </c>
      <c r="Q11">
        <v>36.93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85</v>
      </c>
    </row>
    <row r="13" spans="1:24" x14ac:dyDescent="0.3">
      <c r="A13">
        <v>12</v>
      </c>
      <c r="B13" t="s">
        <v>29</v>
      </c>
      <c r="C13">
        <v>55.26</v>
      </c>
      <c r="E13">
        <v>0</v>
      </c>
      <c r="I13">
        <v>0</v>
      </c>
      <c r="J13">
        <v>3</v>
      </c>
      <c r="K13">
        <v>1310.87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85</v>
      </c>
    </row>
    <row r="15" spans="1:24" x14ac:dyDescent="0.3">
      <c r="A15">
        <v>17</v>
      </c>
      <c r="B15" t="s">
        <v>31</v>
      </c>
      <c r="C15">
        <v>55.26</v>
      </c>
      <c r="E15">
        <v>0</v>
      </c>
      <c r="I15">
        <v>0</v>
      </c>
      <c r="J15">
        <v>3</v>
      </c>
      <c r="K15">
        <v>1375</v>
      </c>
      <c r="L15">
        <v>0</v>
      </c>
      <c r="M15">
        <v>0</v>
      </c>
      <c r="N15">
        <v>0</v>
      </c>
      <c r="O15">
        <v>0</v>
      </c>
      <c r="P15">
        <v>0</v>
      </c>
      <c r="Q15">
        <v>36.93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85</v>
      </c>
    </row>
    <row r="17" spans="1:23" x14ac:dyDescent="0.3">
      <c r="A17">
        <v>19</v>
      </c>
      <c r="B17" t="s">
        <v>33</v>
      </c>
      <c r="C17">
        <v>36.06</v>
      </c>
      <c r="E17">
        <v>0</v>
      </c>
      <c r="G17">
        <v>0</v>
      </c>
      <c r="I17">
        <v>4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211.53</v>
      </c>
      <c r="V17">
        <v>0</v>
      </c>
      <c r="W17" t="s">
        <v>85</v>
      </c>
    </row>
    <row r="19" spans="1:23" x14ac:dyDescent="0.3">
      <c r="A19">
        <v>20</v>
      </c>
      <c r="B19" t="s">
        <v>35</v>
      </c>
      <c r="C19">
        <v>55.26</v>
      </c>
      <c r="E19">
        <v>0</v>
      </c>
      <c r="I19">
        <v>0</v>
      </c>
      <c r="J19">
        <v>3</v>
      </c>
      <c r="K19">
        <v>1060.26</v>
      </c>
      <c r="L19">
        <v>0</v>
      </c>
      <c r="M19">
        <v>881.17</v>
      </c>
      <c r="N19">
        <v>0</v>
      </c>
      <c r="O19">
        <v>0</v>
      </c>
      <c r="P19">
        <v>0</v>
      </c>
      <c r="Q19">
        <v>36.93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85</v>
      </c>
    </row>
    <row r="21" spans="1:23" x14ac:dyDescent="0.3">
      <c r="A21">
        <v>23</v>
      </c>
      <c r="B21" t="s">
        <v>37</v>
      </c>
      <c r="C21">
        <v>25</v>
      </c>
      <c r="E21">
        <v>0</v>
      </c>
      <c r="I21">
        <v>0</v>
      </c>
      <c r="J21">
        <v>3</v>
      </c>
      <c r="K21">
        <v>500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85</v>
      </c>
    </row>
    <row r="23" spans="1:23" x14ac:dyDescent="0.3">
      <c r="A23">
        <v>28</v>
      </c>
      <c r="B23" t="s">
        <v>89</v>
      </c>
      <c r="C23">
        <v>30</v>
      </c>
      <c r="E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85</v>
      </c>
    </row>
    <row r="25" spans="1:23" x14ac:dyDescent="0.3">
      <c r="A25">
        <v>30</v>
      </c>
      <c r="B25" t="s">
        <v>39</v>
      </c>
      <c r="C25">
        <v>48.07</v>
      </c>
      <c r="E25">
        <v>0</v>
      </c>
      <c r="I25">
        <v>3</v>
      </c>
      <c r="J25">
        <v>3</v>
      </c>
      <c r="K25">
        <v>0</v>
      </c>
      <c r="L25">
        <v>0</v>
      </c>
      <c r="M25">
        <v>228.48</v>
      </c>
      <c r="N25">
        <v>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85</v>
      </c>
    </row>
    <row r="27" spans="1:23" x14ac:dyDescent="0.3">
      <c r="A27">
        <v>31</v>
      </c>
      <c r="B27" t="s">
        <v>41</v>
      </c>
      <c r="C27">
        <v>55.26</v>
      </c>
      <c r="E27">
        <v>0</v>
      </c>
      <c r="I27">
        <v>3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128.68</v>
      </c>
      <c r="R27">
        <v>0</v>
      </c>
      <c r="S27">
        <v>0</v>
      </c>
      <c r="T27">
        <v>0</v>
      </c>
      <c r="U27">
        <v>211.53</v>
      </c>
      <c r="V27">
        <v>0</v>
      </c>
      <c r="W27" t="s">
        <v>85</v>
      </c>
    </row>
    <row r="29" spans="1:23" x14ac:dyDescent="0.3">
      <c r="A29">
        <v>34</v>
      </c>
      <c r="B29" t="s">
        <v>42</v>
      </c>
      <c r="C29">
        <v>35</v>
      </c>
      <c r="E29">
        <v>0</v>
      </c>
      <c r="I29">
        <v>6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85.38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85</v>
      </c>
    </row>
    <row r="31" spans="1:23" x14ac:dyDescent="0.3">
      <c r="A31">
        <v>35</v>
      </c>
      <c r="B31" t="s">
        <v>44</v>
      </c>
      <c r="C31">
        <v>55.26</v>
      </c>
      <c r="E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85</v>
      </c>
    </row>
    <row r="33" spans="1:23" x14ac:dyDescent="0.3">
      <c r="A33">
        <v>36</v>
      </c>
      <c r="B33" t="s">
        <v>45</v>
      </c>
      <c r="C33">
        <v>48.08</v>
      </c>
      <c r="E33">
        <v>0</v>
      </c>
      <c r="G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85</v>
      </c>
    </row>
    <row r="35" spans="1:23" x14ac:dyDescent="0.3">
      <c r="A35">
        <v>39</v>
      </c>
      <c r="B35" t="s">
        <v>46</v>
      </c>
      <c r="C35">
        <v>35</v>
      </c>
      <c r="E35">
        <v>0</v>
      </c>
      <c r="I35">
        <v>3</v>
      </c>
      <c r="J35">
        <v>3</v>
      </c>
      <c r="K35">
        <v>0</v>
      </c>
      <c r="L35">
        <v>0</v>
      </c>
      <c r="M35">
        <v>124.17</v>
      </c>
      <c r="N35">
        <v>0</v>
      </c>
      <c r="O35">
        <v>0</v>
      </c>
      <c r="P35">
        <v>0</v>
      </c>
      <c r="Q35">
        <v>36.93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85</v>
      </c>
    </row>
    <row r="37" spans="1:23" x14ac:dyDescent="0.3">
      <c r="A37">
        <v>40</v>
      </c>
      <c r="B37" t="s">
        <v>47</v>
      </c>
      <c r="C37">
        <v>31.25</v>
      </c>
      <c r="E37">
        <v>0</v>
      </c>
      <c r="I37">
        <v>0</v>
      </c>
      <c r="J37">
        <v>0</v>
      </c>
      <c r="K37">
        <v>0</v>
      </c>
      <c r="L37">
        <v>0</v>
      </c>
      <c r="M37">
        <v>107.24</v>
      </c>
      <c r="N37">
        <v>0</v>
      </c>
      <c r="O37">
        <v>0</v>
      </c>
      <c r="P37">
        <v>0</v>
      </c>
      <c r="Q37">
        <v>36.93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85</v>
      </c>
    </row>
    <row r="39" spans="1:23" x14ac:dyDescent="0.3">
      <c r="A39">
        <v>43</v>
      </c>
      <c r="B39" t="s">
        <v>48</v>
      </c>
      <c r="C39">
        <v>35</v>
      </c>
      <c r="E39">
        <v>0</v>
      </c>
      <c r="F39">
        <v>0</v>
      </c>
      <c r="I39">
        <v>3</v>
      </c>
      <c r="J39">
        <v>3</v>
      </c>
      <c r="K39">
        <v>0</v>
      </c>
      <c r="L39">
        <v>0</v>
      </c>
      <c r="M39">
        <v>1396.74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85</v>
      </c>
    </row>
    <row r="41" spans="1:23" x14ac:dyDescent="0.3">
      <c r="A41">
        <v>45</v>
      </c>
      <c r="B41" t="s">
        <v>49</v>
      </c>
      <c r="C41">
        <v>35</v>
      </c>
      <c r="E41">
        <v>0</v>
      </c>
      <c r="I41">
        <v>3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85</v>
      </c>
    </row>
    <row r="43" spans="1:23" x14ac:dyDescent="0.3">
      <c r="A43">
        <v>46</v>
      </c>
      <c r="B43" t="s">
        <v>50</v>
      </c>
      <c r="C43">
        <v>55.26</v>
      </c>
      <c r="I43">
        <v>3</v>
      </c>
      <c r="J43">
        <v>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3C70-9BFC-4E60-9512-13848540404E}">
  <dimension ref="A1:X43"/>
  <sheetViews>
    <sheetView workbookViewId="0"/>
  </sheetViews>
  <sheetFormatPr defaultRowHeight="14.4" x14ac:dyDescent="0.3"/>
  <cols>
    <col min="13" max="13" width="31.6640625" bestFit="1" customWidth="1"/>
    <col min="14" max="14" width="12.6640625" customWidth="1"/>
    <col min="15" max="15" width="8.33203125" customWidth="1"/>
    <col min="17" max="17" width="12.88671875" customWidth="1"/>
    <col min="21" max="21" width="9.33203125" customWidth="1"/>
    <col min="22" max="22" width="20.33203125" customWidth="1"/>
  </cols>
  <sheetData>
    <row r="1" spans="1:24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</row>
    <row r="3" spans="1:24" x14ac:dyDescent="0.3">
      <c r="A3">
        <v>1</v>
      </c>
      <c r="B3" t="s">
        <v>15</v>
      </c>
      <c r="C3">
        <v>55.26</v>
      </c>
      <c r="E3">
        <v>0</v>
      </c>
      <c r="F3">
        <v>0</v>
      </c>
      <c r="G3">
        <v>0</v>
      </c>
      <c r="I3">
        <v>10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85</v>
      </c>
    </row>
    <row r="5" spans="1:24" x14ac:dyDescent="0.3">
      <c r="A5">
        <v>2</v>
      </c>
      <c r="B5" t="s">
        <v>22</v>
      </c>
      <c r="C5">
        <v>55.26</v>
      </c>
      <c r="E5">
        <v>0</v>
      </c>
      <c r="F5">
        <v>0</v>
      </c>
      <c r="I5">
        <v>0</v>
      </c>
      <c r="J5">
        <v>3</v>
      </c>
      <c r="K5">
        <v>1375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85</v>
      </c>
    </row>
    <row r="7" spans="1:24" x14ac:dyDescent="0.3">
      <c r="A7">
        <v>5</v>
      </c>
      <c r="B7" t="s">
        <v>24</v>
      </c>
      <c r="C7">
        <v>55.26</v>
      </c>
      <c r="E7">
        <v>0</v>
      </c>
      <c r="I7">
        <v>0</v>
      </c>
      <c r="J7">
        <v>3</v>
      </c>
      <c r="K7">
        <v>1265</v>
      </c>
      <c r="L7">
        <v>0</v>
      </c>
      <c r="M7">
        <v>1494.54</v>
      </c>
      <c r="N7">
        <v>0</v>
      </c>
      <c r="O7">
        <v>200</v>
      </c>
      <c r="P7">
        <v>0</v>
      </c>
      <c r="Q7">
        <v>74</v>
      </c>
      <c r="R7">
        <v>0</v>
      </c>
      <c r="S7">
        <v>0</v>
      </c>
      <c r="T7">
        <v>0</v>
      </c>
      <c r="U7">
        <v>0</v>
      </c>
      <c r="V7">
        <v>0</v>
      </c>
      <c r="W7" t="s">
        <v>85</v>
      </c>
    </row>
    <row r="9" spans="1:24" x14ac:dyDescent="0.3">
      <c r="A9">
        <v>9</v>
      </c>
      <c r="B9" t="s">
        <v>26</v>
      </c>
      <c r="C9">
        <v>35</v>
      </c>
      <c r="E9">
        <v>0</v>
      </c>
      <c r="I9">
        <v>0</v>
      </c>
      <c r="J9">
        <v>0</v>
      </c>
      <c r="K9">
        <v>0</v>
      </c>
      <c r="L9">
        <v>0</v>
      </c>
      <c r="M9">
        <v>167.53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85</v>
      </c>
    </row>
    <row r="11" spans="1:24" x14ac:dyDescent="0.3">
      <c r="A11">
        <v>10</v>
      </c>
      <c r="B11" t="s">
        <v>86</v>
      </c>
      <c r="C11">
        <v>70</v>
      </c>
      <c r="E11">
        <v>0</v>
      </c>
      <c r="F11">
        <v>0</v>
      </c>
      <c r="I11">
        <v>0</v>
      </c>
      <c r="J11">
        <v>0</v>
      </c>
      <c r="K11">
        <v>0</v>
      </c>
      <c r="L11">
        <v>0</v>
      </c>
      <c r="M11">
        <v>516.14</v>
      </c>
      <c r="N11">
        <v>0</v>
      </c>
      <c r="O11">
        <v>350</v>
      </c>
      <c r="P11">
        <v>0</v>
      </c>
      <c r="Q11">
        <v>36.93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85</v>
      </c>
    </row>
    <row r="13" spans="1:24" x14ac:dyDescent="0.3">
      <c r="A13">
        <v>12</v>
      </c>
      <c r="B13" t="s">
        <v>29</v>
      </c>
      <c r="C13">
        <v>55.26</v>
      </c>
      <c r="E13">
        <v>0</v>
      </c>
      <c r="I13">
        <v>0</v>
      </c>
      <c r="J13">
        <v>3</v>
      </c>
      <c r="K13">
        <v>1310.87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85</v>
      </c>
    </row>
    <row r="15" spans="1:24" x14ac:dyDescent="0.3">
      <c r="A15">
        <v>17</v>
      </c>
      <c r="B15" t="s">
        <v>31</v>
      </c>
      <c r="C15">
        <v>55.26</v>
      </c>
      <c r="E15">
        <v>0</v>
      </c>
      <c r="I15">
        <v>0</v>
      </c>
      <c r="J15">
        <v>3</v>
      </c>
      <c r="K15">
        <v>1375</v>
      </c>
      <c r="L15">
        <v>0</v>
      </c>
      <c r="M15">
        <v>0</v>
      </c>
      <c r="N15">
        <v>0</v>
      </c>
      <c r="O15">
        <v>0</v>
      </c>
      <c r="P15">
        <v>0</v>
      </c>
      <c r="Q15">
        <v>36.93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85</v>
      </c>
    </row>
    <row r="17" spans="1:23" x14ac:dyDescent="0.3">
      <c r="A17">
        <v>19</v>
      </c>
      <c r="B17" t="s">
        <v>33</v>
      </c>
      <c r="C17">
        <v>36.06</v>
      </c>
      <c r="E17">
        <v>0</v>
      </c>
      <c r="G17">
        <v>0</v>
      </c>
      <c r="I17">
        <v>4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211.53</v>
      </c>
      <c r="V17">
        <v>0</v>
      </c>
      <c r="W17" t="s">
        <v>85</v>
      </c>
    </row>
    <row r="19" spans="1:23" x14ac:dyDescent="0.3">
      <c r="A19">
        <v>20</v>
      </c>
      <c r="B19" t="s">
        <v>35</v>
      </c>
      <c r="C19">
        <v>55.26</v>
      </c>
      <c r="E19">
        <v>0</v>
      </c>
      <c r="I19">
        <v>0</v>
      </c>
      <c r="J19">
        <v>3</v>
      </c>
      <c r="K19">
        <v>1060.26</v>
      </c>
      <c r="L19">
        <v>0</v>
      </c>
      <c r="M19">
        <v>881.17</v>
      </c>
      <c r="N19">
        <v>0</v>
      </c>
      <c r="O19">
        <v>0</v>
      </c>
      <c r="P19">
        <v>0</v>
      </c>
      <c r="Q19">
        <v>36.93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85</v>
      </c>
    </row>
    <row r="21" spans="1:23" x14ac:dyDescent="0.3">
      <c r="A21">
        <v>23</v>
      </c>
      <c r="B21" t="s">
        <v>37</v>
      </c>
      <c r="C21">
        <v>25</v>
      </c>
      <c r="E21">
        <v>0</v>
      </c>
      <c r="I21">
        <v>0</v>
      </c>
      <c r="J21">
        <v>3</v>
      </c>
      <c r="K21">
        <v>500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85</v>
      </c>
    </row>
    <row r="23" spans="1:23" x14ac:dyDescent="0.3">
      <c r="A23">
        <v>28</v>
      </c>
      <c r="B23" t="s">
        <v>89</v>
      </c>
      <c r="C23">
        <v>30</v>
      </c>
      <c r="E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85</v>
      </c>
    </row>
    <row r="25" spans="1:23" x14ac:dyDescent="0.3">
      <c r="A25">
        <v>30</v>
      </c>
      <c r="B25" t="s">
        <v>39</v>
      </c>
      <c r="C25">
        <v>48.07</v>
      </c>
      <c r="E25">
        <v>0</v>
      </c>
      <c r="I25">
        <v>3</v>
      </c>
      <c r="J25">
        <v>3</v>
      </c>
      <c r="K25">
        <v>0</v>
      </c>
      <c r="L25">
        <v>0</v>
      </c>
      <c r="M25">
        <v>228.48</v>
      </c>
      <c r="N25">
        <v>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85</v>
      </c>
    </row>
    <row r="27" spans="1:23" x14ac:dyDescent="0.3">
      <c r="A27">
        <v>31</v>
      </c>
      <c r="B27" t="s">
        <v>41</v>
      </c>
      <c r="C27">
        <v>55.26</v>
      </c>
      <c r="E27">
        <v>0</v>
      </c>
      <c r="I27">
        <v>3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128.68</v>
      </c>
      <c r="R27">
        <v>0</v>
      </c>
      <c r="S27">
        <v>0</v>
      </c>
      <c r="T27">
        <v>0</v>
      </c>
      <c r="U27">
        <v>211.53</v>
      </c>
      <c r="V27">
        <v>0</v>
      </c>
      <c r="W27" t="s">
        <v>85</v>
      </c>
    </row>
    <row r="29" spans="1:23" x14ac:dyDescent="0.3">
      <c r="A29">
        <v>34</v>
      </c>
      <c r="B29" t="s">
        <v>42</v>
      </c>
      <c r="C29">
        <v>35</v>
      </c>
      <c r="E29">
        <v>0</v>
      </c>
      <c r="I29">
        <v>6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85.38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85</v>
      </c>
    </row>
    <row r="31" spans="1:23" x14ac:dyDescent="0.3">
      <c r="A31">
        <v>35</v>
      </c>
      <c r="B31" t="s">
        <v>44</v>
      </c>
      <c r="C31">
        <v>55.26</v>
      </c>
      <c r="E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85</v>
      </c>
    </row>
    <row r="33" spans="1:23" x14ac:dyDescent="0.3">
      <c r="A33">
        <v>36</v>
      </c>
      <c r="B33" t="s">
        <v>45</v>
      </c>
      <c r="C33">
        <v>48.08</v>
      </c>
      <c r="E33">
        <v>0</v>
      </c>
      <c r="G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85</v>
      </c>
    </row>
    <row r="35" spans="1:23" x14ac:dyDescent="0.3">
      <c r="A35">
        <v>39</v>
      </c>
      <c r="B35" t="s">
        <v>46</v>
      </c>
      <c r="C35">
        <v>35</v>
      </c>
      <c r="E35">
        <v>0</v>
      </c>
      <c r="I35">
        <v>3</v>
      </c>
      <c r="J35">
        <v>3</v>
      </c>
      <c r="K35">
        <v>0</v>
      </c>
      <c r="L35">
        <v>0</v>
      </c>
      <c r="M35">
        <v>124.17</v>
      </c>
      <c r="N35">
        <v>0</v>
      </c>
      <c r="O35">
        <v>0</v>
      </c>
      <c r="P35">
        <v>0</v>
      </c>
      <c r="Q35">
        <v>36.93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85</v>
      </c>
    </row>
    <row r="37" spans="1:23" x14ac:dyDescent="0.3">
      <c r="A37">
        <v>40</v>
      </c>
      <c r="B37" t="s">
        <v>47</v>
      </c>
      <c r="C37">
        <v>31.25</v>
      </c>
      <c r="E37">
        <v>0</v>
      </c>
      <c r="I37">
        <v>0</v>
      </c>
      <c r="J37">
        <v>0</v>
      </c>
      <c r="K37">
        <v>0</v>
      </c>
      <c r="L37">
        <v>0</v>
      </c>
      <c r="M37">
        <v>107.24</v>
      </c>
      <c r="N37">
        <v>0</v>
      </c>
      <c r="O37">
        <v>0</v>
      </c>
      <c r="P37">
        <v>0</v>
      </c>
      <c r="Q37">
        <v>36.93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85</v>
      </c>
    </row>
    <row r="39" spans="1:23" x14ac:dyDescent="0.3">
      <c r="A39">
        <v>43</v>
      </c>
      <c r="B39" t="s">
        <v>48</v>
      </c>
      <c r="C39">
        <v>35</v>
      </c>
      <c r="E39">
        <v>0</v>
      </c>
      <c r="F39">
        <v>0</v>
      </c>
      <c r="I39">
        <v>3</v>
      </c>
      <c r="J39">
        <v>3</v>
      </c>
      <c r="K39">
        <v>0</v>
      </c>
      <c r="L39">
        <v>0</v>
      </c>
      <c r="M39">
        <v>1396.74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85</v>
      </c>
    </row>
    <row r="41" spans="1:23" x14ac:dyDescent="0.3">
      <c r="A41">
        <v>45</v>
      </c>
      <c r="B41" t="s">
        <v>49</v>
      </c>
      <c r="C41">
        <v>35</v>
      </c>
      <c r="E41">
        <v>0</v>
      </c>
      <c r="I41">
        <v>3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85</v>
      </c>
    </row>
    <row r="43" spans="1:23" x14ac:dyDescent="0.3">
      <c r="A43">
        <v>46</v>
      </c>
      <c r="B43" t="s">
        <v>50</v>
      </c>
      <c r="C43">
        <v>55.26</v>
      </c>
      <c r="I43">
        <v>3</v>
      </c>
      <c r="J43">
        <v>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93BC-F2B7-40BF-9D24-49406A2737AE}">
  <dimension ref="A1:X41"/>
  <sheetViews>
    <sheetView zoomScale="140" workbookViewId="0"/>
  </sheetViews>
  <sheetFormatPr defaultRowHeight="14.4" x14ac:dyDescent="0.3"/>
  <cols>
    <col min="1" max="1" width="8.6640625" customWidth="1"/>
    <col min="2" max="2" width="15.44140625" bestFit="1" customWidth="1"/>
    <col min="3" max="3" width="12.33203125" bestFit="1" customWidth="1"/>
    <col min="4" max="4" width="9.5546875" customWidth="1"/>
    <col min="5" max="5" width="9.88671875" customWidth="1"/>
    <col min="9" max="9" width="11.33203125" customWidth="1"/>
    <col min="10" max="10" width="10" customWidth="1"/>
    <col min="13" max="13" width="31.6640625" bestFit="1" customWidth="1"/>
    <col min="14" max="14" width="14.5546875" customWidth="1"/>
    <col min="15" max="15" width="23.33203125" bestFit="1" customWidth="1"/>
    <col min="16" max="16" width="12.6640625" customWidth="1"/>
    <col min="17" max="17" width="27.5546875" bestFit="1" customWidth="1"/>
    <col min="19" max="19" width="37.33203125" bestFit="1" customWidth="1"/>
    <col min="21" max="21" width="43.6640625" bestFit="1" customWidth="1"/>
  </cols>
  <sheetData>
    <row r="1" spans="1:24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</row>
    <row r="3" spans="1:24" x14ac:dyDescent="0.3">
      <c r="A3">
        <v>39</v>
      </c>
      <c r="B3" t="s">
        <v>46</v>
      </c>
      <c r="C3">
        <v>35</v>
      </c>
      <c r="E3">
        <v>0</v>
      </c>
      <c r="I3">
        <v>3</v>
      </c>
      <c r="J3">
        <v>3</v>
      </c>
      <c r="K3">
        <v>0</v>
      </c>
      <c r="L3">
        <v>0</v>
      </c>
      <c r="M3">
        <v>124.17</v>
      </c>
      <c r="N3">
        <v>0</v>
      </c>
      <c r="O3">
        <v>0</v>
      </c>
      <c r="P3">
        <v>0</v>
      </c>
      <c r="Q3">
        <v>36.93</v>
      </c>
      <c r="R3">
        <v>0</v>
      </c>
      <c r="S3">
        <v>0</v>
      </c>
      <c r="T3">
        <v>0</v>
      </c>
      <c r="U3">
        <v>0</v>
      </c>
      <c r="V3">
        <v>0</v>
      </c>
      <c r="W3" t="s">
        <v>85</v>
      </c>
    </row>
    <row r="5" spans="1:24" x14ac:dyDescent="0.3">
      <c r="A5">
        <v>5</v>
      </c>
      <c r="B5" t="s">
        <v>24</v>
      </c>
      <c r="C5">
        <v>55.26</v>
      </c>
      <c r="E5">
        <v>0</v>
      </c>
      <c r="I5">
        <v>0</v>
      </c>
      <c r="J5">
        <v>3</v>
      </c>
      <c r="K5">
        <v>1265</v>
      </c>
      <c r="L5">
        <v>0</v>
      </c>
      <c r="M5">
        <v>1494.54</v>
      </c>
      <c r="N5">
        <v>0</v>
      </c>
      <c r="O5">
        <v>200</v>
      </c>
      <c r="P5">
        <v>0</v>
      </c>
      <c r="Q5">
        <v>74</v>
      </c>
      <c r="R5">
        <v>0</v>
      </c>
      <c r="S5">
        <v>0</v>
      </c>
      <c r="T5">
        <v>0</v>
      </c>
      <c r="U5">
        <v>0</v>
      </c>
      <c r="V5">
        <v>0</v>
      </c>
      <c r="W5" t="s">
        <v>85</v>
      </c>
    </row>
    <row r="7" spans="1:24" x14ac:dyDescent="0.3">
      <c r="A7">
        <v>19</v>
      </c>
      <c r="B7" t="s">
        <v>33</v>
      </c>
      <c r="C7">
        <v>36.06</v>
      </c>
      <c r="E7">
        <v>0</v>
      </c>
      <c r="G7">
        <v>0</v>
      </c>
      <c r="I7">
        <v>4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211.53</v>
      </c>
      <c r="V7">
        <v>0</v>
      </c>
      <c r="W7" t="s">
        <v>85</v>
      </c>
    </row>
    <row r="9" spans="1:24" x14ac:dyDescent="0.3">
      <c r="A9">
        <v>36</v>
      </c>
      <c r="B9" t="s">
        <v>45</v>
      </c>
      <c r="C9">
        <v>48.08</v>
      </c>
      <c r="E9">
        <v>0</v>
      </c>
      <c r="G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85</v>
      </c>
    </row>
    <row r="11" spans="1:24" x14ac:dyDescent="0.3">
      <c r="A11">
        <v>31</v>
      </c>
      <c r="B11" t="s">
        <v>41</v>
      </c>
      <c r="C11">
        <v>55.26</v>
      </c>
      <c r="E11">
        <v>0</v>
      </c>
      <c r="I11">
        <v>3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128.68</v>
      </c>
      <c r="R11">
        <v>0</v>
      </c>
      <c r="S11">
        <v>0</v>
      </c>
      <c r="T11">
        <v>0</v>
      </c>
      <c r="U11">
        <v>211.53</v>
      </c>
      <c r="V11">
        <v>0</v>
      </c>
      <c r="W11" t="s">
        <v>85</v>
      </c>
    </row>
    <row r="13" spans="1:24" x14ac:dyDescent="0.3">
      <c r="A13">
        <v>34</v>
      </c>
      <c r="B13" t="s">
        <v>42</v>
      </c>
      <c r="C13">
        <v>35</v>
      </c>
      <c r="E13">
        <v>0</v>
      </c>
      <c r="I13">
        <v>6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85.38</v>
      </c>
      <c r="R13">
        <v>0</v>
      </c>
      <c r="S13">
        <v>881.82</v>
      </c>
      <c r="T13">
        <v>0</v>
      </c>
      <c r="U13">
        <v>0</v>
      </c>
      <c r="V13">
        <v>0</v>
      </c>
      <c r="W13" t="s">
        <v>85</v>
      </c>
    </row>
    <row r="15" spans="1:24" x14ac:dyDescent="0.3">
      <c r="A15">
        <v>9</v>
      </c>
      <c r="B15" t="s">
        <v>26</v>
      </c>
      <c r="C15">
        <v>35</v>
      </c>
      <c r="E15">
        <v>0</v>
      </c>
      <c r="I15">
        <v>0</v>
      </c>
      <c r="J15">
        <v>0</v>
      </c>
      <c r="K15">
        <v>0</v>
      </c>
      <c r="L15">
        <v>0</v>
      </c>
      <c r="M15">
        <v>167.53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85</v>
      </c>
    </row>
    <row r="17" spans="1:23" x14ac:dyDescent="0.3">
      <c r="A17">
        <v>10</v>
      </c>
      <c r="B17" t="s">
        <v>86</v>
      </c>
      <c r="C17">
        <v>70</v>
      </c>
      <c r="E17">
        <v>0</v>
      </c>
      <c r="F17">
        <v>0</v>
      </c>
      <c r="I17">
        <v>0</v>
      </c>
      <c r="J17">
        <v>0</v>
      </c>
      <c r="K17">
        <v>0</v>
      </c>
      <c r="L17">
        <v>0</v>
      </c>
      <c r="M17">
        <v>516.14</v>
      </c>
      <c r="N17">
        <v>0</v>
      </c>
      <c r="O17">
        <v>350</v>
      </c>
      <c r="P17">
        <v>0</v>
      </c>
      <c r="Q17">
        <v>36.93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85</v>
      </c>
    </row>
    <row r="19" spans="1:23" x14ac:dyDescent="0.3">
      <c r="A19">
        <v>46</v>
      </c>
      <c r="B19" t="s">
        <v>50</v>
      </c>
      <c r="C19">
        <v>55.26</v>
      </c>
      <c r="I19">
        <v>3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85</v>
      </c>
    </row>
    <row r="21" spans="1:23" x14ac:dyDescent="0.3">
      <c r="A21">
        <v>30</v>
      </c>
      <c r="B21" t="s">
        <v>39</v>
      </c>
      <c r="C21">
        <v>48.07</v>
      </c>
      <c r="E21">
        <v>0</v>
      </c>
      <c r="I21">
        <v>3</v>
      </c>
      <c r="J21">
        <v>3</v>
      </c>
      <c r="K21">
        <v>0</v>
      </c>
      <c r="L21">
        <v>0</v>
      </c>
      <c r="M21">
        <v>228.48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85</v>
      </c>
    </row>
    <row r="23" spans="1:23" x14ac:dyDescent="0.3">
      <c r="A23">
        <v>35</v>
      </c>
      <c r="B23" t="s">
        <v>44</v>
      </c>
      <c r="C23">
        <v>55.26</v>
      </c>
      <c r="E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85</v>
      </c>
    </row>
    <row r="25" spans="1:23" x14ac:dyDescent="0.3">
      <c r="A25">
        <v>43</v>
      </c>
      <c r="B25" t="s">
        <v>48</v>
      </c>
      <c r="C25">
        <v>35</v>
      </c>
      <c r="E25">
        <v>0</v>
      </c>
      <c r="F25">
        <v>0</v>
      </c>
      <c r="I25">
        <v>3</v>
      </c>
      <c r="J25">
        <v>3</v>
      </c>
      <c r="K25">
        <v>0</v>
      </c>
      <c r="L25">
        <v>0</v>
      </c>
      <c r="M25">
        <v>1396.74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85</v>
      </c>
    </row>
    <row r="27" spans="1:23" x14ac:dyDescent="0.3">
      <c r="A27">
        <v>1</v>
      </c>
      <c r="B27" t="s">
        <v>15</v>
      </c>
      <c r="C27">
        <v>55.26</v>
      </c>
      <c r="E27">
        <v>0</v>
      </c>
      <c r="F27">
        <v>0</v>
      </c>
      <c r="G27">
        <v>0</v>
      </c>
      <c r="I27">
        <v>10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85</v>
      </c>
    </row>
    <row r="29" spans="1:23" x14ac:dyDescent="0.3">
      <c r="A29">
        <v>45</v>
      </c>
      <c r="B29" t="s">
        <v>49</v>
      </c>
      <c r="C29">
        <v>35</v>
      </c>
      <c r="E29">
        <v>0</v>
      </c>
      <c r="I29">
        <v>3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85</v>
      </c>
    </row>
    <row r="31" spans="1:23" x14ac:dyDescent="0.3">
      <c r="A31">
        <v>23</v>
      </c>
      <c r="B31" t="s">
        <v>37</v>
      </c>
      <c r="C31">
        <v>25</v>
      </c>
      <c r="E31">
        <v>0</v>
      </c>
      <c r="I31">
        <v>0</v>
      </c>
      <c r="J31">
        <v>3</v>
      </c>
      <c r="K31">
        <v>500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85</v>
      </c>
    </row>
    <row r="33" spans="1:23" x14ac:dyDescent="0.3">
      <c r="A33">
        <v>20</v>
      </c>
      <c r="B33" t="s">
        <v>35</v>
      </c>
      <c r="C33">
        <v>55.26</v>
      </c>
      <c r="E33">
        <v>0</v>
      </c>
      <c r="I33">
        <v>0</v>
      </c>
      <c r="J33">
        <v>3</v>
      </c>
      <c r="K33">
        <v>1060.26</v>
      </c>
      <c r="L33">
        <v>0</v>
      </c>
      <c r="M33">
        <v>881.17</v>
      </c>
      <c r="N33">
        <v>0</v>
      </c>
      <c r="O33">
        <v>0</v>
      </c>
      <c r="P33">
        <v>0</v>
      </c>
      <c r="Q33">
        <v>36.93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85</v>
      </c>
    </row>
    <row r="35" spans="1:23" x14ac:dyDescent="0.3">
      <c r="A35">
        <v>40</v>
      </c>
      <c r="B35" t="s">
        <v>47</v>
      </c>
      <c r="C35">
        <v>31.25</v>
      </c>
      <c r="E35">
        <v>0</v>
      </c>
      <c r="I35">
        <v>0</v>
      </c>
      <c r="J35">
        <v>0</v>
      </c>
      <c r="K35">
        <v>0</v>
      </c>
      <c r="L35">
        <v>0</v>
      </c>
      <c r="M35">
        <v>107.24</v>
      </c>
      <c r="N35">
        <v>0</v>
      </c>
      <c r="O35">
        <v>0</v>
      </c>
      <c r="P35">
        <v>0</v>
      </c>
      <c r="Q35">
        <v>36.93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85</v>
      </c>
    </row>
    <row r="37" spans="1:23" x14ac:dyDescent="0.3">
      <c r="A37">
        <v>12</v>
      </c>
      <c r="B37" t="s">
        <v>29</v>
      </c>
      <c r="C37">
        <v>55.26</v>
      </c>
      <c r="E37">
        <v>0</v>
      </c>
      <c r="I37">
        <v>0</v>
      </c>
      <c r="J37">
        <v>3</v>
      </c>
      <c r="K37">
        <v>1310.87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85</v>
      </c>
    </row>
    <row r="39" spans="1:23" x14ac:dyDescent="0.3">
      <c r="A39">
        <v>2</v>
      </c>
      <c r="B39" t="s">
        <v>22</v>
      </c>
      <c r="C39">
        <v>55.26</v>
      </c>
      <c r="E39">
        <v>0</v>
      </c>
      <c r="F39">
        <v>0</v>
      </c>
      <c r="I39">
        <v>0</v>
      </c>
      <c r="J39">
        <v>3</v>
      </c>
      <c r="K39">
        <v>1375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85</v>
      </c>
    </row>
    <row r="41" spans="1:23" x14ac:dyDescent="0.3">
      <c r="A41">
        <v>17</v>
      </c>
      <c r="B41" t="s">
        <v>31</v>
      </c>
      <c r="C41">
        <v>55.26</v>
      </c>
      <c r="E41">
        <v>0</v>
      </c>
      <c r="I41">
        <v>0</v>
      </c>
      <c r="J41">
        <v>3</v>
      </c>
      <c r="K41">
        <v>1375</v>
      </c>
      <c r="L41">
        <v>0</v>
      </c>
      <c r="M41">
        <v>0</v>
      </c>
      <c r="N41">
        <v>0</v>
      </c>
      <c r="O41">
        <v>0</v>
      </c>
      <c r="P41">
        <v>0</v>
      </c>
      <c r="Q41">
        <v>36.93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6EC0-B62B-4178-B386-C8641F3DBA70}">
  <dimension ref="A1:X47"/>
  <sheetViews>
    <sheetView workbookViewId="0"/>
  </sheetViews>
  <sheetFormatPr defaultRowHeight="14.4" x14ac:dyDescent="0.3"/>
  <cols>
    <col min="2" max="2" width="16.44140625" bestFit="1" customWidth="1"/>
    <col min="9" max="9" width="13" customWidth="1"/>
    <col min="10" max="10" width="12.44140625" customWidth="1"/>
    <col min="11" max="11" width="18.109375" customWidth="1"/>
    <col min="13" max="13" width="14.5546875" customWidth="1"/>
    <col min="14" max="14" width="15.33203125" customWidth="1"/>
    <col min="15" max="15" width="11.88671875" customWidth="1"/>
    <col min="17" max="17" width="10.88671875" customWidth="1"/>
    <col min="18" max="18" width="10.5546875" customWidth="1"/>
    <col min="19" max="19" width="12.33203125" customWidth="1"/>
    <col min="20" max="20" width="11.33203125" customWidth="1"/>
    <col min="21" max="21" width="13.88671875" customWidth="1"/>
  </cols>
  <sheetData>
    <row r="1" spans="1:24" x14ac:dyDescent="0.3">
      <c r="A1" s="7" t="s">
        <v>55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66</v>
      </c>
      <c r="G1" s="7" t="s">
        <v>67</v>
      </c>
      <c r="H1" s="7" t="s">
        <v>68</v>
      </c>
      <c r="I1" s="7" t="s">
        <v>69</v>
      </c>
      <c r="J1" s="7" t="s">
        <v>70</v>
      </c>
      <c r="K1" s="7" t="s">
        <v>71</v>
      </c>
      <c r="L1" s="7" t="s">
        <v>72</v>
      </c>
      <c r="M1" s="7" t="s">
        <v>73</v>
      </c>
      <c r="N1" s="7" t="s">
        <v>74</v>
      </c>
      <c r="O1" s="7" t="s">
        <v>75</v>
      </c>
      <c r="P1" s="7" t="s">
        <v>76</v>
      </c>
      <c r="Q1" s="7" t="s">
        <v>77</v>
      </c>
      <c r="R1" s="7" t="s">
        <v>78</v>
      </c>
      <c r="S1" s="7" t="s">
        <v>79</v>
      </c>
      <c r="T1" s="7" t="s">
        <v>80</v>
      </c>
      <c r="U1" s="7" t="s">
        <v>81</v>
      </c>
      <c r="V1" s="7" t="s">
        <v>82</v>
      </c>
      <c r="W1" s="7" t="s">
        <v>83</v>
      </c>
      <c r="X1" s="7" t="s">
        <v>84</v>
      </c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x14ac:dyDescent="0.3">
      <c r="A3" s="7">
        <v>39</v>
      </c>
      <c r="B3" s="7" t="s">
        <v>46</v>
      </c>
      <c r="C3" s="7">
        <v>35</v>
      </c>
      <c r="D3" s="7"/>
      <c r="E3" s="7">
        <v>0</v>
      </c>
      <c r="F3" s="7">
        <v>0</v>
      </c>
      <c r="G3" s="7"/>
      <c r="H3" s="7"/>
      <c r="I3" s="7">
        <v>3</v>
      </c>
      <c r="J3" s="7">
        <v>3</v>
      </c>
      <c r="K3" s="7">
        <v>0</v>
      </c>
      <c r="L3" s="7">
        <v>0</v>
      </c>
      <c r="M3" s="7">
        <v>124.17</v>
      </c>
      <c r="N3" s="7">
        <v>0</v>
      </c>
      <c r="O3" s="7">
        <v>0</v>
      </c>
      <c r="P3" s="7">
        <v>0</v>
      </c>
      <c r="Q3" s="7">
        <v>36.93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 t="s">
        <v>85</v>
      </c>
      <c r="X3" s="7"/>
    </row>
    <row r="4" spans="1:24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7">
        <v>5</v>
      </c>
      <c r="B5" s="7" t="s">
        <v>24</v>
      </c>
      <c r="C5" s="7">
        <v>55.26</v>
      </c>
      <c r="D5" s="7"/>
      <c r="E5" s="7">
        <v>0</v>
      </c>
      <c r="F5" s="7"/>
      <c r="G5" s="7"/>
      <c r="H5" s="7"/>
      <c r="I5" s="7">
        <v>0</v>
      </c>
      <c r="J5" s="7">
        <v>3</v>
      </c>
      <c r="K5" s="7">
        <v>1265</v>
      </c>
      <c r="L5" s="7">
        <v>0</v>
      </c>
      <c r="M5" s="7">
        <v>1494.54</v>
      </c>
      <c r="N5" s="7">
        <v>0</v>
      </c>
      <c r="O5" s="7">
        <v>200</v>
      </c>
      <c r="P5" s="7">
        <v>0</v>
      </c>
      <c r="Q5" s="7">
        <v>74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 t="s">
        <v>85</v>
      </c>
      <c r="X5" s="7"/>
    </row>
    <row r="6" spans="1:24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x14ac:dyDescent="0.3">
      <c r="A7" s="7">
        <v>19</v>
      </c>
      <c r="B7" s="7" t="s">
        <v>33</v>
      </c>
      <c r="C7" s="7">
        <v>36.06</v>
      </c>
      <c r="D7" s="7"/>
      <c r="E7" s="7">
        <v>0</v>
      </c>
      <c r="F7" s="7"/>
      <c r="G7" s="7">
        <v>0</v>
      </c>
      <c r="H7" s="7"/>
      <c r="I7" s="7">
        <v>4</v>
      </c>
      <c r="J7" s="7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211.53</v>
      </c>
      <c r="V7" s="7">
        <v>0</v>
      </c>
      <c r="W7" s="7" t="s">
        <v>85</v>
      </c>
      <c r="X7" s="7"/>
    </row>
    <row r="8" spans="1:24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3">
      <c r="A9" s="7">
        <v>36</v>
      </c>
      <c r="B9" s="7" t="s">
        <v>45</v>
      </c>
      <c r="C9" s="7">
        <v>48.08</v>
      </c>
      <c r="D9" s="7"/>
      <c r="E9" s="7">
        <v>0</v>
      </c>
      <c r="F9" s="7"/>
      <c r="G9" s="7">
        <v>0</v>
      </c>
      <c r="H9" s="7"/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 t="s">
        <v>85</v>
      </c>
      <c r="X9" s="7"/>
    </row>
    <row r="10" spans="1:24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3">
      <c r="A11" s="7">
        <v>47</v>
      </c>
      <c r="B11" s="7" t="s">
        <v>91</v>
      </c>
      <c r="C11" s="7">
        <v>18</v>
      </c>
      <c r="D11" s="7"/>
      <c r="E11" s="7"/>
      <c r="F11" s="7"/>
      <c r="G11" s="7"/>
      <c r="H11" s="7"/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 t="s">
        <v>85</v>
      </c>
      <c r="X11" s="7"/>
    </row>
    <row r="12" spans="1:24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3">
      <c r="A13" s="7">
        <v>31</v>
      </c>
      <c r="B13" s="7" t="s">
        <v>41</v>
      </c>
      <c r="C13" s="7">
        <v>55.26</v>
      </c>
      <c r="D13" s="7"/>
      <c r="E13" s="7">
        <v>0</v>
      </c>
      <c r="F13" s="7"/>
      <c r="G13" s="7"/>
      <c r="H13" s="7"/>
      <c r="I13" s="7">
        <v>3</v>
      </c>
      <c r="J13" s="7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128.68</v>
      </c>
      <c r="R13" s="7">
        <v>0</v>
      </c>
      <c r="S13" s="7">
        <v>0</v>
      </c>
      <c r="T13" s="7">
        <v>0</v>
      </c>
      <c r="U13" s="7">
        <v>211.53</v>
      </c>
      <c r="V13" s="7">
        <v>0</v>
      </c>
      <c r="W13" s="7" t="s">
        <v>85</v>
      </c>
      <c r="X13" s="7"/>
    </row>
    <row r="14" spans="1:24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3">
      <c r="A15" s="7">
        <v>34</v>
      </c>
      <c r="B15" s="7" t="s">
        <v>42</v>
      </c>
      <c r="C15" s="7">
        <v>35</v>
      </c>
      <c r="D15" s="7"/>
      <c r="E15" s="7">
        <v>0</v>
      </c>
      <c r="F15" s="7"/>
      <c r="G15" s="7"/>
      <c r="H15" s="7"/>
      <c r="I15" s="7">
        <v>6</v>
      </c>
      <c r="J15" s="7">
        <v>3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85.38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 t="s">
        <v>85</v>
      </c>
      <c r="X15" s="7"/>
    </row>
    <row r="16" spans="1:24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3">
      <c r="A17" s="7">
        <v>9</v>
      </c>
      <c r="B17" s="7" t="s">
        <v>26</v>
      </c>
      <c r="C17" s="7">
        <v>35</v>
      </c>
      <c r="D17" s="7"/>
      <c r="E17" s="7">
        <v>0</v>
      </c>
      <c r="F17" s="7"/>
      <c r="G17" s="7"/>
      <c r="H17" s="7"/>
      <c r="I17" s="7">
        <v>0</v>
      </c>
      <c r="J17" s="7">
        <v>0</v>
      </c>
      <c r="K17" s="7">
        <v>0</v>
      </c>
      <c r="L17" s="7">
        <v>0</v>
      </c>
      <c r="M17" s="7">
        <v>167.53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 t="s">
        <v>85</v>
      </c>
      <c r="X17" s="7"/>
    </row>
    <row r="18" spans="1:24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3">
      <c r="A19" s="7">
        <v>10</v>
      </c>
      <c r="B19" s="7" t="s">
        <v>86</v>
      </c>
      <c r="C19" s="7">
        <v>70</v>
      </c>
      <c r="D19" s="7"/>
      <c r="E19" s="7">
        <v>0</v>
      </c>
      <c r="F19" s="7">
        <v>0</v>
      </c>
      <c r="G19" s="7"/>
      <c r="H19" s="7"/>
      <c r="I19" s="7">
        <v>0</v>
      </c>
      <c r="J19" s="7">
        <v>0</v>
      </c>
      <c r="K19" s="7">
        <v>0</v>
      </c>
      <c r="L19" s="7">
        <v>0</v>
      </c>
      <c r="M19" s="7">
        <v>516.14</v>
      </c>
      <c r="N19" s="7">
        <v>0</v>
      </c>
      <c r="O19" s="7">
        <v>350</v>
      </c>
      <c r="P19" s="7">
        <v>0</v>
      </c>
      <c r="Q19" s="7">
        <v>36.93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 t="s">
        <v>85</v>
      </c>
      <c r="X19" s="7"/>
    </row>
    <row r="20" spans="1:24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3">
      <c r="A21" s="7">
        <v>46</v>
      </c>
      <c r="B21" s="7" t="s">
        <v>50</v>
      </c>
      <c r="C21" s="7">
        <v>55.26</v>
      </c>
      <c r="D21" s="7"/>
      <c r="E21" s="7">
        <v>0</v>
      </c>
      <c r="F21" s="7"/>
      <c r="G21" s="7"/>
      <c r="H21" s="7"/>
      <c r="I21" s="7">
        <v>3</v>
      </c>
      <c r="J21" s="7">
        <v>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1764.2</v>
      </c>
      <c r="T21" s="7">
        <v>0</v>
      </c>
      <c r="U21" s="7">
        <v>0</v>
      </c>
      <c r="V21" s="7">
        <v>0</v>
      </c>
      <c r="W21" s="7" t="s">
        <v>85</v>
      </c>
      <c r="X21" s="7"/>
    </row>
    <row r="22" spans="1:24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3">
      <c r="A23" s="7">
        <v>30</v>
      </c>
      <c r="B23" s="7" t="s">
        <v>39</v>
      </c>
      <c r="C23" s="7">
        <v>48.07</v>
      </c>
      <c r="D23" s="7"/>
      <c r="E23" s="7">
        <v>0</v>
      </c>
      <c r="F23" s="7"/>
      <c r="G23" s="7"/>
      <c r="H23" s="7"/>
      <c r="I23" s="7">
        <v>3</v>
      </c>
      <c r="J23" s="7">
        <v>3</v>
      </c>
      <c r="K23" s="7">
        <v>0</v>
      </c>
      <c r="L23" s="7">
        <v>0</v>
      </c>
      <c r="M23" s="7">
        <v>228.48</v>
      </c>
      <c r="N23" s="7">
        <v>0</v>
      </c>
      <c r="O23" s="7">
        <v>100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 t="s">
        <v>85</v>
      </c>
      <c r="X23" s="7"/>
    </row>
    <row r="24" spans="1:24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3">
      <c r="A25" s="7">
        <v>35</v>
      </c>
      <c r="B25" s="7" t="s">
        <v>44</v>
      </c>
      <c r="C25" s="7">
        <v>55.26</v>
      </c>
      <c r="D25" s="7"/>
      <c r="E25" s="7">
        <v>0</v>
      </c>
      <c r="F25" s="7"/>
      <c r="G25" s="7"/>
      <c r="H25" s="7"/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 t="s">
        <v>85</v>
      </c>
      <c r="X25" s="7"/>
    </row>
    <row r="26" spans="1:24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3">
      <c r="A27" s="7">
        <v>43</v>
      </c>
      <c r="B27" s="7" t="s">
        <v>48</v>
      </c>
      <c r="C27" s="7">
        <v>35</v>
      </c>
      <c r="D27" s="7"/>
      <c r="E27" s="7">
        <v>0</v>
      </c>
      <c r="F27" s="7">
        <v>0</v>
      </c>
      <c r="G27" s="7"/>
      <c r="H27" s="7"/>
      <c r="I27" s="7">
        <v>3</v>
      </c>
      <c r="J27" s="7">
        <v>3</v>
      </c>
      <c r="K27" s="7">
        <v>0</v>
      </c>
      <c r="L27" s="7">
        <v>0</v>
      </c>
      <c r="M27" s="7">
        <v>1396.74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58.33</v>
      </c>
      <c r="T27" s="7">
        <v>0</v>
      </c>
      <c r="U27" s="7">
        <v>0</v>
      </c>
      <c r="V27" s="7">
        <v>0</v>
      </c>
      <c r="W27" s="7" t="s">
        <v>85</v>
      </c>
      <c r="X27" s="7"/>
    </row>
    <row r="28" spans="1:24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3">
      <c r="A29" s="7">
        <v>1</v>
      </c>
      <c r="B29" s="7" t="s">
        <v>15</v>
      </c>
      <c r="C29" s="7">
        <v>40</v>
      </c>
      <c r="D29" s="7"/>
      <c r="E29" s="7">
        <v>0</v>
      </c>
      <c r="F29" s="7">
        <v>0</v>
      </c>
      <c r="G29" s="7">
        <v>0</v>
      </c>
      <c r="H29" s="7"/>
      <c r="I29" s="7">
        <v>10</v>
      </c>
      <c r="J29" s="7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 t="s">
        <v>85</v>
      </c>
      <c r="X29" s="7"/>
    </row>
    <row r="30" spans="1:24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3">
      <c r="A31" s="7">
        <v>45</v>
      </c>
      <c r="B31" s="7" t="s">
        <v>49</v>
      </c>
      <c r="C31" s="7">
        <v>35</v>
      </c>
      <c r="D31" s="7"/>
      <c r="E31" s="7">
        <v>0</v>
      </c>
      <c r="F31" s="7"/>
      <c r="G31" s="7"/>
      <c r="H31" s="7"/>
      <c r="I31" s="7">
        <v>3</v>
      </c>
      <c r="J31" s="7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 t="s">
        <v>85</v>
      </c>
      <c r="X31" s="7"/>
    </row>
    <row r="32" spans="1:24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3">
      <c r="A33" s="7">
        <v>23</v>
      </c>
      <c r="B33" s="7" t="s">
        <v>37</v>
      </c>
      <c r="C33" s="7">
        <v>25</v>
      </c>
      <c r="D33" s="7"/>
      <c r="E33" s="7">
        <v>0</v>
      </c>
      <c r="F33" s="7"/>
      <c r="G33" s="7"/>
      <c r="H33" s="7"/>
      <c r="I33" s="7">
        <v>0</v>
      </c>
      <c r="J33" s="7">
        <v>3</v>
      </c>
      <c r="K33" s="7">
        <v>500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 t="s">
        <v>85</v>
      </c>
      <c r="X33" s="7"/>
    </row>
    <row r="34" spans="1:24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3">
      <c r="A35" s="7">
        <v>48</v>
      </c>
      <c r="B35" s="7" t="s">
        <v>92</v>
      </c>
      <c r="C35" s="7">
        <v>18</v>
      </c>
      <c r="D35" s="7"/>
      <c r="E35" s="7"/>
      <c r="F35" s="7"/>
      <c r="G35" s="7"/>
      <c r="H35" s="7"/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 t="s">
        <v>85</v>
      </c>
      <c r="X35" s="7"/>
    </row>
    <row r="36" spans="1:24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3">
      <c r="A37" s="7">
        <v>20</v>
      </c>
      <c r="B37" s="7" t="s">
        <v>35</v>
      </c>
      <c r="C37" s="7">
        <v>55.26</v>
      </c>
      <c r="D37" s="7"/>
      <c r="E37" s="7">
        <v>0</v>
      </c>
      <c r="F37" s="7"/>
      <c r="G37" s="7"/>
      <c r="H37" s="7"/>
      <c r="I37" s="7">
        <v>0</v>
      </c>
      <c r="J37" s="7">
        <v>3</v>
      </c>
      <c r="K37" s="7">
        <v>1060.26</v>
      </c>
      <c r="L37" s="7">
        <v>0</v>
      </c>
      <c r="M37" s="7">
        <v>881.17</v>
      </c>
      <c r="N37" s="7">
        <v>0</v>
      </c>
      <c r="O37" s="7">
        <v>0</v>
      </c>
      <c r="P37" s="7">
        <v>0</v>
      </c>
      <c r="Q37" s="7">
        <v>36.93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 t="s">
        <v>85</v>
      </c>
      <c r="X37" s="7"/>
    </row>
    <row r="38" spans="1:24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3">
      <c r="A39" s="7">
        <v>40</v>
      </c>
      <c r="B39" s="7" t="s">
        <v>47</v>
      </c>
      <c r="C39" s="7">
        <v>31.25</v>
      </c>
      <c r="D39" s="7"/>
      <c r="E39" s="7">
        <v>0</v>
      </c>
      <c r="F39" s="7"/>
      <c r="G39" s="7"/>
      <c r="H39" s="7"/>
      <c r="I39" s="7">
        <v>0</v>
      </c>
      <c r="J39" s="7">
        <v>0</v>
      </c>
      <c r="K39" s="7">
        <v>0</v>
      </c>
      <c r="L39" s="7">
        <v>0</v>
      </c>
      <c r="M39" s="7">
        <v>107.24</v>
      </c>
      <c r="N39" s="7">
        <v>0</v>
      </c>
      <c r="O39" s="7">
        <v>0</v>
      </c>
      <c r="P39" s="7">
        <v>0</v>
      </c>
      <c r="Q39" s="7">
        <v>36.93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 t="s">
        <v>85</v>
      </c>
      <c r="X39" s="7"/>
    </row>
    <row r="40" spans="1:24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3">
      <c r="A41" s="7">
        <v>12</v>
      </c>
      <c r="B41" s="7" t="s">
        <v>29</v>
      </c>
      <c r="C41" s="7">
        <v>55.26</v>
      </c>
      <c r="D41" s="7"/>
      <c r="E41" s="7">
        <v>0</v>
      </c>
      <c r="F41" s="7"/>
      <c r="G41" s="7"/>
      <c r="H41" s="7"/>
      <c r="I41" s="7">
        <v>0</v>
      </c>
      <c r="J41" s="7">
        <v>3</v>
      </c>
      <c r="K41" s="7">
        <v>1310.87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 t="s">
        <v>85</v>
      </c>
      <c r="X41" s="7"/>
    </row>
    <row r="42" spans="1:24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3">
      <c r="A43" s="7">
        <v>2</v>
      </c>
      <c r="B43" s="7" t="s">
        <v>22</v>
      </c>
      <c r="C43" s="7">
        <v>55.26</v>
      </c>
      <c r="D43" s="7"/>
      <c r="E43" s="7">
        <v>0</v>
      </c>
      <c r="F43" s="7">
        <v>0</v>
      </c>
      <c r="G43" s="7"/>
      <c r="H43" s="7"/>
      <c r="I43" s="7">
        <v>0</v>
      </c>
      <c r="J43" s="7">
        <v>3</v>
      </c>
      <c r="K43" s="7">
        <v>1375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 t="s">
        <v>85</v>
      </c>
      <c r="X43" s="7"/>
    </row>
    <row r="44" spans="1:24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3">
      <c r="A45" s="7">
        <v>17</v>
      </c>
      <c r="B45" s="7" t="s">
        <v>31</v>
      </c>
      <c r="C45" s="7">
        <v>55.26</v>
      </c>
      <c r="D45" s="7"/>
      <c r="E45" s="7">
        <v>0</v>
      </c>
      <c r="F45" s="7"/>
      <c r="G45" s="7"/>
      <c r="H45" s="7"/>
      <c r="I45" s="7">
        <v>0</v>
      </c>
      <c r="J45" s="7">
        <v>3</v>
      </c>
      <c r="K45" s="7">
        <v>1375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36.93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 t="s">
        <v>85</v>
      </c>
      <c r="X45" s="7"/>
    </row>
    <row r="46" spans="1:24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4594-8050-496F-A607-49665616B370}">
  <dimension ref="A1:X45"/>
  <sheetViews>
    <sheetView topLeftCell="A21" workbookViewId="0">
      <selection activeCell="A41" sqref="A41:XFD41"/>
    </sheetView>
  </sheetViews>
  <sheetFormatPr defaultRowHeight="14.4" x14ac:dyDescent="0.3"/>
  <sheetData>
    <row r="1" spans="1:24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</row>
    <row r="3" spans="1:24" x14ac:dyDescent="0.3">
      <c r="A3">
        <v>1</v>
      </c>
      <c r="B3" t="s">
        <v>15</v>
      </c>
      <c r="C3">
        <v>40</v>
      </c>
      <c r="E3">
        <v>0</v>
      </c>
      <c r="F3">
        <v>0</v>
      </c>
      <c r="G3">
        <v>0</v>
      </c>
      <c r="I3">
        <v>10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85</v>
      </c>
    </row>
    <row r="5" spans="1:24" x14ac:dyDescent="0.3">
      <c r="A5">
        <v>2</v>
      </c>
      <c r="B5" t="s">
        <v>22</v>
      </c>
      <c r="C5">
        <v>55.26</v>
      </c>
      <c r="E5">
        <v>0</v>
      </c>
      <c r="F5">
        <v>0</v>
      </c>
      <c r="I5">
        <v>0</v>
      </c>
      <c r="J5">
        <v>3</v>
      </c>
      <c r="K5">
        <v>1375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85</v>
      </c>
    </row>
    <row r="7" spans="1:24" x14ac:dyDescent="0.3">
      <c r="A7">
        <v>5</v>
      </c>
      <c r="B7" t="s">
        <v>24</v>
      </c>
      <c r="C7">
        <v>55.26</v>
      </c>
      <c r="E7">
        <v>0</v>
      </c>
      <c r="I7">
        <v>0</v>
      </c>
      <c r="J7">
        <v>3</v>
      </c>
      <c r="K7">
        <v>1265</v>
      </c>
      <c r="L7">
        <v>0</v>
      </c>
      <c r="M7">
        <v>1494.54</v>
      </c>
      <c r="N7">
        <v>0</v>
      </c>
      <c r="O7">
        <v>200</v>
      </c>
      <c r="P7">
        <v>0</v>
      </c>
      <c r="Q7">
        <v>74</v>
      </c>
      <c r="R7">
        <v>0</v>
      </c>
      <c r="S7">
        <v>0</v>
      </c>
      <c r="T7">
        <v>0</v>
      </c>
      <c r="U7">
        <v>0</v>
      </c>
      <c r="V7">
        <v>0</v>
      </c>
      <c r="W7" t="s">
        <v>85</v>
      </c>
    </row>
    <row r="9" spans="1:24" x14ac:dyDescent="0.3">
      <c r="A9">
        <v>9</v>
      </c>
      <c r="B9" t="s">
        <v>26</v>
      </c>
      <c r="C9">
        <v>35</v>
      </c>
      <c r="E9">
        <v>0</v>
      </c>
      <c r="I9">
        <v>0</v>
      </c>
      <c r="J9">
        <v>0</v>
      </c>
      <c r="K9">
        <v>0</v>
      </c>
      <c r="L9">
        <v>0</v>
      </c>
      <c r="M9">
        <v>167.53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85</v>
      </c>
    </row>
    <row r="11" spans="1:24" x14ac:dyDescent="0.3">
      <c r="A11">
        <v>10</v>
      </c>
      <c r="B11" t="s">
        <v>86</v>
      </c>
      <c r="C11">
        <v>70</v>
      </c>
      <c r="E11">
        <v>0</v>
      </c>
      <c r="F11">
        <v>0</v>
      </c>
      <c r="I11">
        <v>0</v>
      </c>
      <c r="J11">
        <v>0</v>
      </c>
      <c r="K11">
        <v>0</v>
      </c>
      <c r="L11">
        <v>0</v>
      </c>
      <c r="M11">
        <v>516.14</v>
      </c>
      <c r="N11">
        <v>0</v>
      </c>
      <c r="O11">
        <v>350</v>
      </c>
      <c r="P11">
        <v>0</v>
      </c>
      <c r="Q11">
        <v>36.93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85</v>
      </c>
    </row>
    <row r="13" spans="1:24" x14ac:dyDescent="0.3">
      <c r="A13">
        <v>12</v>
      </c>
      <c r="B13" t="s">
        <v>29</v>
      </c>
      <c r="C13">
        <v>55.26</v>
      </c>
      <c r="E13">
        <v>0</v>
      </c>
      <c r="I13">
        <v>0</v>
      </c>
      <c r="J13">
        <v>3</v>
      </c>
      <c r="K13">
        <v>1310.87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85</v>
      </c>
    </row>
    <row r="15" spans="1:24" x14ac:dyDescent="0.3">
      <c r="A15">
        <v>17</v>
      </c>
      <c r="B15" t="s">
        <v>31</v>
      </c>
      <c r="C15">
        <v>55.26</v>
      </c>
      <c r="E15">
        <v>0</v>
      </c>
      <c r="I15">
        <v>0</v>
      </c>
      <c r="J15">
        <v>3</v>
      </c>
      <c r="K15">
        <v>1375</v>
      </c>
      <c r="L15">
        <v>0</v>
      </c>
      <c r="M15">
        <v>0</v>
      </c>
      <c r="N15">
        <v>0</v>
      </c>
      <c r="O15">
        <v>0</v>
      </c>
      <c r="P15">
        <v>0</v>
      </c>
      <c r="Q15">
        <v>36.93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85</v>
      </c>
    </row>
    <row r="17" spans="1:23" x14ac:dyDescent="0.3">
      <c r="A17">
        <v>19</v>
      </c>
      <c r="B17" t="s">
        <v>33</v>
      </c>
      <c r="C17">
        <v>36.06</v>
      </c>
      <c r="E17">
        <v>0</v>
      </c>
      <c r="G17">
        <v>0</v>
      </c>
      <c r="I17">
        <v>4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211.53</v>
      </c>
      <c r="V17">
        <v>0</v>
      </c>
      <c r="W17" t="s">
        <v>85</v>
      </c>
    </row>
    <row r="19" spans="1:23" x14ac:dyDescent="0.3">
      <c r="A19">
        <v>20</v>
      </c>
      <c r="B19" t="s">
        <v>35</v>
      </c>
      <c r="C19">
        <v>55.26</v>
      </c>
      <c r="E19">
        <v>0</v>
      </c>
      <c r="I19">
        <v>3</v>
      </c>
      <c r="J19">
        <v>3</v>
      </c>
      <c r="K19">
        <v>0</v>
      </c>
      <c r="L19">
        <v>0</v>
      </c>
      <c r="M19">
        <v>881.17</v>
      </c>
      <c r="N19">
        <v>0</v>
      </c>
      <c r="O19">
        <v>0</v>
      </c>
      <c r="P19">
        <v>0</v>
      </c>
      <c r="Q19">
        <v>36.93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85</v>
      </c>
    </row>
    <row r="21" spans="1:23" x14ac:dyDescent="0.3">
      <c r="A21">
        <v>23</v>
      </c>
      <c r="B21" t="s">
        <v>37</v>
      </c>
      <c r="C21">
        <v>25</v>
      </c>
      <c r="E21">
        <v>0</v>
      </c>
      <c r="I21">
        <v>0</v>
      </c>
      <c r="J21">
        <v>3</v>
      </c>
      <c r="K21">
        <v>500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85</v>
      </c>
    </row>
    <row r="23" spans="1:23" x14ac:dyDescent="0.3">
      <c r="A23">
        <v>30</v>
      </c>
      <c r="B23" t="s">
        <v>39</v>
      </c>
      <c r="C23">
        <v>48.07</v>
      </c>
      <c r="E23">
        <v>0</v>
      </c>
      <c r="I23">
        <v>3</v>
      </c>
      <c r="J23">
        <v>3</v>
      </c>
      <c r="K23">
        <v>0</v>
      </c>
      <c r="L23">
        <v>0</v>
      </c>
      <c r="M23">
        <v>228.48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85</v>
      </c>
    </row>
    <row r="25" spans="1:23" x14ac:dyDescent="0.3">
      <c r="A25">
        <v>31</v>
      </c>
      <c r="B25" t="s">
        <v>41</v>
      </c>
      <c r="C25">
        <v>55.26</v>
      </c>
      <c r="E25">
        <v>0</v>
      </c>
      <c r="I25">
        <v>3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128.68</v>
      </c>
      <c r="R25">
        <v>0</v>
      </c>
      <c r="S25">
        <v>0</v>
      </c>
      <c r="T25">
        <v>0</v>
      </c>
      <c r="U25">
        <v>211.53</v>
      </c>
      <c r="V25">
        <v>0</v>
      </c>
      <c r="W25" t="s">
        <v>85</v>
      </c>
    </row>
    <row r="27" spans="1:23" x14ac:dyDescent="0.3">
      <c r="A27">
        <v>34</v>
      </c>
      <c r="B27" t="s">
        <v>42</v>
      </c>
      <c r="C27">
        <v>35</v>
      </c>
      <c r="E27">
        <v>0</v>
      </c>
      <c r="I27">
        <v>6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85.38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85</v>
      </c>
    </row>
    <row r="29" spans="1:23" x14ac:dyDescent="0.3">
      <c r="A29">
        <v>35</v>
      </c>
      <c r="B29" t="s">
        <v>44</v>
      </c>
      <c r="C29">
        <v>55.26</v>
      </c>
      <c r="E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85</v>
      </c>
    </row>
    <row r="31" spans="1:23" x14ac:dyDescent="0.3">
      <c r="A31">
        <v>36</v>
      </c>
      <c r="B31" t="s">
        <v>45</v>
      </c>
      <c r="C31">
        <v>48.08</v>
      </c>
      <c r="E31">
        <v>0</v>
      </c>
      <c r="G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85</v>
      </c>
    </row>
    <row r="33" spans="1:23" x14ac:dyDescent="0.3">
      <c r="A33">
        <v>39</v>
      </c>
      <c r="B33" t="s">
        <v>46</v>
      </c>
      <c r="C33">
        <v>35</v>
      </c>
      <c r="E33">
        <v>0</v>
      </c>
      <c r="F33">
        <v>0</v>
      </c>
      <c r="I33">
        <v>3</v>
      </c>
      <c r="J33">
        <v>3</v>
      </c>
      <c r="K33">
        <v>0</v>
      </c>
      <c r="L33">
        <v>0</v>
      </c>
      <c r="M33">
        <v>124.17</v>
      </c>
      <c r="N33">
        <v>0</v>
      </c>
      <c r="O33">
        <v>0</v>
      </c>
      <c r="P33">
        <v>0</v>
      </c>
      <c r="Q33">
        <v>36.93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85</v>
      </c>
    </row>
    <row r="35" spans="1:23" x14ac:dyDescent="0.3">
      <c r="A35">
        <v>40</v>
      </c>
      <c r="B35" t="s">
        <v>47</v>
      </c>
      <c r="C35">
        <v>31.25</v>
      </c>
      <c r="E35">
        <v>0</v>
      </c>
      <c r="I35">
        <v>0</v>
      </c>
      <c r="J35">
        <v>0</v>
      </c>
      <c r="K35">
        <v>0</v>
      </c>
      <c r="L35">
        <v>0</v>
      </c>
      <c r="M35">
        <v>107.24</v>
      </c>
      <c r="N35">
        <v>0</v>
      </c>
      <c r="O35">
        <v>0</v>
      </c>
      <c r="P35">
        <v>0</v>
      </c>
      <c r="Q35">
        <v>36.93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85</v>
      </c>
    </row>
    <row r="37" spans="1:23" x14ac:dyDescent="0.3">
      <c r="A37">
        <v>43</v>
      </c>
      <c r="B37" t="s">
        <v>48</v>
      </c>
      <c r="C37">
        <v>35</v>
      </c>
      <c r="E37">
        <v>0</v>
      </c>
      <c r="F37">
        <v>0</v>
      </c>
      <c r="I37">
        <v>3</v>
      </c>
      <c r="J37">
        <v>3</v>
      </c>
      <c r="K37">
        <v>0</v>
      </c>
      <c r="L37">
        <v>0</v>
      </c>
      <c r="M37">
        <v>1396.74</v>
      </c>
      <c r="N37">
        <v>0</v>
      </c>
      <c r="O37">
        <v>0</v>
      </c>
      <c r="P37">
        <v>0</v>
      </c>
      <c r="Q37">
        <v>0</v>
      </c>
      <c r="R37">
        <v>0</v>
      </c>
      <c r="S37">
        <v>70.010000000000005</v>
      </c>
      <c r="T37">
        <v>0</v>
      </c>
      <c r="U37">
        <v>0</v>
      </c>
      <c r="V37">
        <v>0</v>
      </c>
      <c r="W37" t="s">
        <v>85</v>
      </c>
    </row>
    <row r="39" spans="1:23" x14ac:dyDescent="0.3">
      <c r="A39">
        <v>45</v>
      </c>
      <c r="B39" t="s">
        <v>49</v>
      </c>
      <c r="C39">
        <v>35</v>
      </c>
      <c r="E39">
        <v>0</v>
      </c>
      <c r="I39">
        <v>3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85</v>
      </c>
    </row>
    <row r="41" spans="1:23" x14ac:dyDescent="0.3">
      <c r="A41">
        <v>46</v>
      </c>
      <c r="B41" t="s">
        <v>50</v>
      </c>
      <c r="C41">
        <v>55.26</v>
      </c>
      <c r="E41">
        <v>0</v>
      </c>
      <c r="I41">
        <v>3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85</v>
      </c>
    </row>
    <row r="43" spans="1:23" x14ac:dyDescent="0.3">
      <c r="A43">
        <v>47</v>
      </c>
      <c r="B43" t="s">
        <v>91</v>
      </c>
      <c r="C43">
        <v>18</v>
      </c>
      <c r="E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85</v>
      </c>
    </row>
    <row r="45" spans="1:23" x14ac:dyDescent="0.3">
      <c r="A45">
        <v>48</v>
      </c>
      <c r="B45" t="s">
        <v>92</v>
      </c>
      <c r="C45">
        <v>18</v>
      </c>
      <c r="E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Cumulative</vt:lpstr>
      <vt:lpstr>Jan</vt:lpstr>
      <vt:lpstr>Feb</vt:lpstr>
      <vt:lpstr>Mar</vt:lpstr>
      <vt:lpstr>Apr</vt:lpstr>
      <vt:lpstr>May</vt:lpstr>
      <vt:lpstr>June</vt:lpstr>
      <vt:lpstr>June(2)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Metcalf</dc:creator>
  <cp:keywords/>
  <dc:description/>
  <cp:lastModifiedBy>James Metcalf</cp:lastModifiedBy>
  <cp:revision/>
  <dcterms:created xsi:type="dcterms:W3CDTF">2022-04-13T16:05:36Z</dcterms:created>
  <dcterms:modified xsi:type="dcterms:W3CDTF">2022-07-12T20:35:36Z</dcterms:modified>
  <cp:category/>
  <cp:contentStatus/>
</cp:coreProperties>
</file>